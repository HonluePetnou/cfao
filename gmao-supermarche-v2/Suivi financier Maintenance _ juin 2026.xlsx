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kango\Desktop\elements rapport\"/>
    </mc:Choice>
  </mc:AlternateContent>
  <xr:revisionPtr revIDLastSave="0" documentId="13_ncr:1_{F0380421-4293-4F4C-9060-63D5BC642269}" xr6:coauthVersionLast="36" xr6:coauthVersionMax="36" xr10:uidLastSave="{00000000-0000-0000-0000-000000000000}"/>
  <bookViews>
    <workbookView xWindow="0" yWindow="0" windowWidth="23040" windowHeight="8940" xr2:uid="{743C63E1-82B7-477B-A885-B385D41BF480}"/>
  </bookViews>
  <sheets>
    <sheet name="Suivi Dépense" sheetId="1" r:id="rId1"/>
    <sheet name="Par magasin" sheetId="13" r:id="rId2"/>
    <sheet name="Par Localisation par magasin" sheetId="15" r:id="rId3"/>
    <sheet name="Par C.E. par magasin" sheetId="16" r:id="rId4"/>
    <sheet name="Listes déroulantes" sheetId="2" r:id="rId5"/>
  </sheets>
  <definedNames>
    <definedName name="_xlnm._FilterDatabase" localSheetId="0" hidden="1">'Suivi Dépense'!$A$4:$M$188</definedName>
  </definedNames>
  <calcPr calcId="191029"/>
  <pivotCaches>
    <pivotCache cacheId="9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2" i="1" l="1"/>
  <c r="G190" i="1"/>
  <c r="E13" i="13" l="1"/>
  <c r="E12" i="13"/>
  <c r="E11" i="13"/>
  <c r="E10" i="13"/>
  <c r="E9" i="13"/>
  <c r="E8" i="13"/>
  <c r="E6" i="13"/>
  <c r="F13" i="13"/>
  <c r="F15" i="13"/>
  <c r="F12" i="13"/>
  <c r="F11" i="13"/>
  <c r="F10" i="13"/>
  <c r="F9" i="13"/>
  <c r="F8" i="13"/>
  <c r="F7" i="13"/>
  <c r="G140" i="1" l="1"/>
  <c r="F6" i="13" l="1"/>
  <c r="E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Jose-Edgar MAGNAGUEMABE</author>
  </authors>
  <commentList>
    <comment ref="G9" authorId="0" shapeId="0" xr:uid="{CF611999-3309-4E98-8740-FDEE40FF6653}">
      <text>
        <r>
          <rPr>
            <b/>
            <sz val="9"/>
            <color indexed="81"/>
            <rFont val="Tahoma"/>
            <family val="2"/>
          </rPr>
          <t>Jose-Edgar MAGNAGUEMABE:</t>
        </r>
        <r>
          <rPr>
            <sz val="9"/>
            <color indexed="81"/>
            <rFont val="Tahoma"/>
            <family val="2"/>
          </rPr>
          <t xml:space="preserve">
Divers</t>
        </r>
      </text>
    </comment>
    <comment ref="G10" authorId="0" shapeId="0" xr:uid="{1446CF93-2142-49EF-A818-21ADB1768422}">
      <text>
        <r>
          <rPr>
            <b/>
            <sz val="9"/>
            <color indexed="81"/>
            <rFont val="Tahoma"/>
            <family val="2"/>
          </rPr>
          <t>Jose-Edgar MAGNAGUEMABE:</t>
        </r>
        <r>
          <rPr>
            <sz val="9"/>
            <color indexed="81"/>
            <rFont val="Tahoma"/>
            <family val="2"/>
          </rPr>
          <t xml:space="preserve">
Extincteurs; RIA</t>
        </r>
      </text>
    </comment>
    <comment ref="G11" authorId="0" shapeId="0" xr:uid="{626DB4A8-E704-4386-AD71-7A0ABB7EA99E}">
      <text>
        <r>
          <rPr>
            <b/>
            <sz val="9"/>
            <color indexed="81"/>
            <rFont val="Tahoma"/>
            <family val="2"/>
          </rPr>
          <t>Jose-Edgar MAGNAGUEMABE:</t>
        </r>
        <r>
          <rPr>
            <sz val="9"/>
            <color indexed="81"/>
            <rFont val="Tahoma"/>
            <family val="2"/>
          </rPr>
          <t xml:space="preserve">
Plomberie de sécurité incendie</t>
        </r>
      </text>
    </comment>
    <comment ref="E17" authorId="0" shapeId="0" xr:uid="{634845AC-2F8F-4ED9-B107-E439080034E6}">
      <text>
        <r>
          <rPr>
            <b/>
            <sz val="9"/>
            <color indexed="81"/>
            <rFont val="Tahoma"/>
            <family val="2"/>
          </rPr>
          <t>Jose-Edgar MAGNAGUEMABE:</t>
        </r>
        <r>
          <rPr>
            <sz val="9"/>
            <color indexed="81"/>
            <rFont val="Tahoma"/>
            <family val="2"/>
          </rPr>
          <t xml:space="preserve">
Hormis meubles froids</t>
        </r>
      </text>
    </comment>
  </commentList>
</comments>
</file>

<file path=xl/sharedStrings.xml><?xml version="1.0" encoding="utf-8"?>
<sst xmlns="http://schemas.openxmlformats.org/spreadsheetml/2006/main" count="2446" uniqueCount="314">
  <si>
    <t>SITE</t>
  </si>
  <si>
    <t>LOCALISATION</t>
  </si>
  <si>
    <t>CORPS D'ETAT</t>
  </si>
  <si>
    <t>CAPEX/OPEX</t>
  </si>
  <si>
    <t>VOIE DE FINANCEMENT</t>
  </si>
  <si>
    <t>EKIE</t>
  </si>
  <si>
    <t>ADIALEA</t>
  </si>
  <si>
    <t>PLAYCE</t>
  </si>
  <si>
    <t>WARDA</t>
  </si>
  <si>
    <t>IMPUTATION</t>
  </si>
  <si>
    <t>DESCRIPTION DES TRAVAUX / PANNES</t>
  </si>
  <si>
    <t>DATE DE DEPENSE / PROVISION</t>
  </si>
  <si>
    <t>NATURE DU FINANCEMENT (CAPEX/OPEX)</t>
  </si>
  <si>
    <t>CRITICITE</t>
  </si>
  <si>
    <t>ENTREPOT</t>
  </si>
  <si>
    <t>ANCIEN DALIP</t>
  </si>
  <si>
    <t>AKWA-DUBAI</t>
  </si>
  <si>
    <t>LOGPOM</t>
  </si>
  <si>
    <t>BU BALI</t>
  </si>
  <si>
    <t>DOMICILES EXPATS</t>
  </si>
  <si>
    <t>BONAMOUSSADI</t>
  </si>
  <si>
    <t>BONABERI</t>
  </si>
  <si>
    <t>SITES</t>
  </si>
  <si>
    <t>Boulangerie</t>
  </si>
  <si>
    <t>Pâtisserie</t>
  </si>
  <si>
    <t>Traiteur</t>
  </si>
  <si>
    <t>Poissonerie</t>
  </si>
  <si>
    <t>Boucherie</t>
  </si>
  <si>
    <t>Charcuterie</t>
  </si>
  <si>
    <t>Chambres Froides</t>
  </si>
  <si>
    <t>Surface de Vente</t>
  </si>
  <si>
    <t>Locaux Techniques</t>
  </si>
  <si>
    <t>Extérieur / Parking</t>
  </si>
  <si>
    <t>Bureaux / Locaux sociaux</t>
  </si>
  <si>
    <t>Lacoste</t>
  </si>
  <si>
    <t>Jules</t>
  </si>
  <si>
    <t>La Grande Récré</t>
  </si>
  <si>
    <t>Electricité CFO</t>
  </si>
  <si>
    <t>Electricité CFA</t>
  </si>
  <si>
    <t>Plomberie Sanitaire</t>
  </si>
  <si>
    <t>Génie Civil / Bâtiment</t>
  </si>
  <si>
    <t>Climatisation / Ventilation</t>
  </si>
  <si>
    <t>Plomberie Industrielle (SI)</t>
  </si>
  <si>
    <t>Froid alimentaire</t>
  </si>
  <si>
    <t>Mécanique</t>
  </si>
  <si>
    <t>Equipements de Prod.</t>
  </si>
  <si>
    <t>Moyens de secours</t>
  </si>
  <si>
    <t>Haute</t>
  </si>
  <si>
    <t>Normale</t>
  </si>
  <si>
    <t>Faible</t>
  </si>
  <si>
    <t>OPEX</t>
  </si>
  <si>
    <t>CAPEX</t>
  </si>
  <si>
    <t>Espèces</t>
  </si>
  <si>
    <t>Bon de commande</t>
  </si>
  <si>
    <t>Galerie marchande</t>
  </si>
  <si>
    <t>SUIVI DEPENSES MAINTENANCE</t>
  </si>
  <si>
    <t>TYPES DE TRAVAUX</t>
  </si>
  <si>
    <t>Maint. Préventive</t>
  </si>
  <si>
    <t>Maint. Corrective</t>
  </si>
  <si>
    <t>Maint. Améliorative</t>
  </si>
  <si>
    <t>Travaux neufs</t>
  </si>
  <si>
    <t>GESTION DU PAIEMENT</t>
  </si>
  <si>
    <t>COMMENTAIRES</t>
  </si>
  <si>
    <t>MONTANT</t>
  </si>
  <si>
    <t>ENTREPRISES</t>
  </si>
  <si>
    <t>Étiquettes de lignes</t>
  </si>
  <si>
    <t>Total général</t>
  </si>
  <si>
    <t>Somme de MONTANT</t>
  </si>
  <si>
    <t>remplacement spot defectueux</t>
  </si>
  <si>
    <t>COÛT MENSUEL OPEX MAINTENANCE PAR MAGASIN</t>
  </si>
  <si>
    <t>TOTAL</t>
  </si>
  <si>
    <t>MONTANT (XAF)</t>
  </si>
  <si>
    <t>MARS 2026</t>
  </si>
  <si>
    <t>Meubles froids</t>
  </si>
  <si>
    <t>COÛT MENSUEL OPEX MAINTENANCE PAR ZONING PAR MAGASIN (XAF)</t>
  </si>
  <si>
    <t>COÛT MENSUEL OPEX MAINTENANCE PAR CORPS D'ETAT PAR MAGASIN (XAF)</t>
  </si>
  <si>
    <t xml:space="preserve">remplacement carrelage à l'entrée du magasin </t>
  </si>
  <si>
    <t>rémise en étét de bon fonctionnement Rooftop</t>
  </si>
  <si>
    <t>constitution stock lames de scies et couteau hachoir</t>
  </si>
  <si>
    <t xml:space="preserve">founiture verou pour consigne </t>
  </si>
  <si>
    <t xml:space="preserve">founiture de tubes pour attrapes mouches </t>
  </si>
  <si>
    <t xml:space="preserve">remplacement d'un canon sur porte </t>
  </si>
  <si>
    <t>renouvellement eau distillé</t>
  </si>
  <si>
    <t xml:space="preserve">fourniture d'un tachymètre </t>
  </si>
  <si>
    <t>réparation meuble yaourts</t>
  </si>
  <si>
    <t>remplacement mécanisme des toilettes</t>
  </si>
  <si>
    <t>fourniture courteaux en boucherie</t>
  </si>
  <si>
    <t xml:space="preserve">fabrication de 08 dalettes </t>
  </si>
  <si>
    <t>remplacement commutateur four à pizza</t>
  </si>
  <si>
    <t xml:space="preserve">remplacement disjoncteur c 120c 4p sur rofftop </t>
  </si>
  <si>
    <t>refection circuit de gaz chaud du groupe élécttogène</t>
  </si>
  <si>
    <t xml:space="preserve">vérification extinteurs et RIA </t>
  </si>
  <si>
    <t>refection circuit  d'évacuation des eau de splits</t>
  </si>
  <si>
    <t xml:space="preserve">calorigugeage du circuit de gaz chaud de GE </t>
  </si>
  <si>
    <t xml:space="preserve">fourniture gasoil </t>
  </si>
  <si>
    <t>fabrication de support pour batteries GE</t>
  </si>
  <si>
    <t>fourniture petit materiel pour installation spot toilettes hommes</t>
  </si>
  <si>
    <t>réparation robinet exterieur et soudure support metalique sur portail reception</t>
  </si>
  <si>
    <t>founiture consommable de maintenance meubles et évaporateurs</t>
  </si>
  <si>
    <t>réparation bidet toilette femmes et évier traiteur</t>
  </si>
  <si>
    <t>rebobinnage stator ventilateurs des fours de la boulangerie</t>
  </si>
  <si>
    <t>remplacement plaque de découpe en polyéthylène - rouge</t>
  </si>
  <si>
    <t xml:space="preserve">remplacement projecteur </t>
  </si>
  <si>
    <t xml:space="preserve">remplacement de batteries </t>
  </si>
  <si>
    <t>entretien forage</t>
  </si>
  <si>
    <t>remplacement joints chambre froide négative</t>
  </si>
  <si>
    <t>inspection et répartion fuite sur rooftop N°1 circuit N°2</t>
  </si>
  <si>
    <t>soudure support de fixation de l'axe de rotation du ventilateur rooftop</t>
  </si>
  <si>
    <t>installation protection porte coupe feu</t>
  </si>
  <si>
    <t>réparation gaine textile</t>
  </si>
  <si>
    <t>réparation climatiseur DRH</t>
  </si>
  <si>
    <t>réparation chariot clark</t>
  </si>
  <si>
    <t>remplacement floteur d'eau</t>
  </si>
  <si>
    <t xml:space="preserve">remplacement meca poussoir  et robinet </t>
  </si>
  <si>
    <t>réparation table réfrégérée traiteut</t>
  </si>
  <si>
    <t>remplacement halogène sur meuble bain marin</t>
  </si>
  <si>
    <t xml:space="preserve">reparation fuite toilette </t>
  </si>
  <si>
    <t>fourniture petit materiel pour interventon</t>
  </si>
  <si>
    <t>fourniture bedgesd'accès</t>
  </si>
  <si>
    <t>maintenance pontuelle vidéo surveillance</t>
  </si>
  <si>
    <t>remplacement fiches male traiteur</t>
  </si>
  <si>
    <t xml:space="preserve">réparation poret ecoulissante </t>
  </si>
  <si>
    <t>remplacement detecteur de fumée</t>
  </si>
  <si>
    <t>remplacement module PEGO</t>
  </si>
  <si>
    <t>GASOIL 1000L pour ravitaillement Cuve GE</t>
  </si>
  <si>
    <t>Perche de sauvetage 2m 110KV pour Local transformateur</t>
  </si>
  <si>
    <t>GASOIL 2000L pour ravitaillement Cuve GE</t>
  </si>
  <si>
    <t>Remplacer la plaque de découpe</t>
  </si>
  <si>
    <t>Ballast électronique pour éclairage Hotte</t>
  </si>
  <si>
    <t xml:space="preserve">Robinet de presto avec accessoires de pose au sanitaire publique femme </t>
  </si>
  <si>
    <t xml:space="preserve">Mécanisme de WC pour sanitaire publique Homme </t>
  </si>
  <si>
    <t>Remplacement de 02 boutons poussoirs pour la balancelle</t>
  </si>
  <si>
    <t>Remplacement mitigeur pour lavabo</t>
  </si>
  <si>
    <t xml:space="preserve">Remplacement fiche male 2p+T  pour le dépannage de la plastifieuse </t>
  </si>
  <si>
    <t xml:space="preserve">Remplacement tuyau évacuation des eaux usées en boucherie   </t>
  </si>
  <si>
    <t>Revêtement plaque publicitaire du Food-court</t>
  </si>
  <si>
    <t>Remplacement ballast du meuble FLEG</t>
  </si>
  <si>
    <t>Fixation du battant de la porte accès local poubelle</t>
  </si>
  <si>
    <t xml:space="preserve">Etanchéité zone condenseurs MTN </t>
  </si>
  <si>
    <t>Remplacement Module EVCO 24V de la chambre de pousse</t>
  </si>
  <si>
    <t>Remplacement Régulateur de température TRAD porc et Bœuf</t>
  </si>
  <si>
    <t>Installation climatiseur 3,25CV dans le local stabilisateur</t>
  </si>
  <si>
    <t>Remplacement Frein électromagnétique Scie à Os DADAUX</t>
  </si>
  <si>
    <t>Remplacement du contacteur de la grille entrée Grande surface</t>
  </si>
  <si>
    <t>Vidange GE PRAMAC 550</t>
  </si>
  <si>
    <t>Location echaffaudage pour l'ientretien des enseignes</t>
  </si>
  <si>
    <t>Remplacement module de commande Meuble Pizza</t>
  </si>
  <si>
    <t>Remplacement fiche mâle et femmelle meuble PIZZA</t>
  </si>
  <si>
    <t>Remplacement de la courroie de la façonneuse</t>
  </si>
  <si>
    <t>Dépannage plonge Cantine</t>
  </si>
  <si>
    <t>Ballasts électroniques PHILIPPS pour tubes T5 (Hotte)</t>
  </si>
  <si>
    <t>Remplacement des joints chambre de fermentation</t>
  </si>
  <si>
    <t>Refection des tuyauterie d'évacuation d'eau de la patisserie</t>
  </si>
  <si>
    <t>Remplacement mécanisme chasse toilette homme</t>
  </si>
  <si>
    <t>Fixation de la barre de séparation caisse</t>
  </si>
  <si>
    <t>Remplacement de la commande Marche-arrêt de la lime</t>
  </si>
  <si>
    <t xml:space="preserve">Renforcement de l'échelle par soudure </t>
  </si>
  <si>
    <t>Remplacement des reglettes et prises triphasée</t>
  </si>
  <si>
    <t>Remplacement joint d'étanchéité chambre de pousse</t>
  </si>
  <si>
    <t>Remplacement moteur de Direction du gerbeur RRE 160M</t>
  </si>
  <si>
    <t>CFAO MOBILITY</t>
  </si>
  <si>
    <t>CFAO INFRA</t>
  </si>
  <si>
    <t>Maintenance préventive SSI</t>
  </si>
  <si>
    <t>CONNECT OFFICE</t>
  </si>
  <si>
    <t>Founiture résisntance épingle 3100w  pour rotissoir R24NE</t>
  </si>
  <si>
    <t>DOREGRIL</t>
  </si>
  <si>
    <t xml:space="preserve">ENTRETIEN GERBEUR </t>
  </si>
  <si>
    <t>ESPACE MECA</t>
  </si>
  <si>
    <t>Réginération batterie Gerbeur Clark wsx14-0249-8272ch</t>
  </si>
  <si>
    <t>réparation fuite d'eau sanitaire hommes et femmes</t>
  </si>
  <si>
    <t>Remplacement vase d'expansion au local AEP</t>
  </si>
  <si>
    <t>FORP PLOMB</t>
  </si>
  <si>
    <t>Réparation faux plafond</t>
  </si>
  <si>
    <t>JS COMPANY</t>
  </si>
  <si>
    <t>Location échafaudage pour racomodage gaine textile rooftop</t>
  </si>
  <si>
    <t>installation alarme au niveau porte chambre froide</t>
  </si>
  <si>
    <t>MTG AFRIK</t>
  </si>
  <si>
    <t>fourniture gasoil pour groupe éléctrogène</t>
  </si>
  <si>
    <t>NEPTUNE OIL</t>
  </si>
  <si>
    <t>SNEF</t>
  </si>
  <si>
    <t xml:space="preserve">Remplacement relais pour ECU Groupe electrogène </t>
  </si>
  <si>
    <t>Remplacement boitier d'arret d'urgence local groupe froid</t>
  </si>
  <si>
    <t>OPTIMUM B&amp;B</t>
  </si>
  <si>
    <t>remplacement Batterie du groupe électrogène</t>
  </si>
  <si>
    <t>Location échafaudage pour racomodage  et nettoyage gaine textile rooftop</t>
  </si>
  <si>
    <t xml:space="preserve">remplacement AVR 15 A </t>
  </si>
  <si>
    <t>SAM ENTERPRISE</t>
  </si>
  <si>
    <t>Réparation Split coffre fort</t>
  </si>
  <si>
    <t xml:space="preserve">Réparation allège second étage </t>
  </si>
  <si>
    <t>SIA</t>
  </si>
  <si>
    <t>Remplacement moteur à chawarma</t>
  </si>
  <si>
    <t xml:space="preserve">SUNSHINE </t>
  </si>
  <si>
    <t xml:space="preserve">Vidange STEP </t>
  </si>
  <si>
    <t>TH &amp;FILS</t>
  </si>
  <si>
    <t xml:space="preserve">Réparation gerbeur toyota  ch6525672 </t>
  </si>
  <si>
    <t xml:space="preserve">Entretien mensuel Rooftop </t>
  </si>
  <si>
    <t>réparation sur chariot clark GTS 30</t>
  </si>
  <si>
    <t>Réparation gerbeur Clark wsx14</t>
  </si>
  <si>
    <t>fourniture gasoil</t>
  </si>
  <si>
    <t>remplacement split DM et réparation Split PCS</t>
  </si>
  <si>
    <t>nettoyage gaine textile des Rooftop</t>
  </si>
  <si>
    <t>remplacement résistance évaporateur chamnre froide négative</t>
  </si>
  <si>
    <t>Remplacement sonde de reprise Rooftop N°1</t>
  </si>
  <si>
    <t>remplacement Batterie du groupe électrogène du daf</t>
  </si>
  <si>
    <t>GES</t>
  </si>
  <si>
    <t>GRENN ENERGY</t>
  </si>
  <si>
    <t>(vide)</t>
  </si>
  <si>
    <t>mise  sous pression recherche de fuite colmatage e</t>
  </si>
  <si>
    <t>réparation Chariot toyota ch65731</t>
  </si>
  <si>
    <t xml:space="preserve">Remplacement flexible sur gerbrur Clark WSX4 </t>
  </si>
  <si>
    <t>Remplacement flexible sur gerbeur</t>
  </si>
  <si>
    <t xml:space="preserve">fourniture Fréon </t>
  </si>
  <si>
    <t>fourniture de filtre pour rooftop</t>
  </si>
  <si>
    <t>reboninage ventilateur condenseur centrale négative</t>
  </si>
  <si>
    <t>Remplacement joint d'étanchéité chambre de pousse et filtre</t>
  </si>
  <si>
    <t>réparation trappe</t>
  </si>
  <si>
    <t>réparation meuble rotissoir</t>
  </si>
  <si>
    <t>installation fiche male pour myster clean</t>
  </si>
  <si>
    <t>remplacement verre cassé</t>
  </si>
  <si>
    <t xml:space="preserve">Transport porte caisse centrale supeco pour Bona </t>
  </si>
  <si>
    <t>Fixation grille métallique protection porte coupe-feu réserve</t>
  </si>
  <si>
    <t xml:space="preserve">Achat graisse haute température </t>
  </si>
  <si>
    <t>Achat accessoire plomberie pour résoudre la fuite du lavabo de la réception</t>
  </si>
  <si>
    <t>Fixation des couverts des meubles bains marine du traiteur</t>
  </si>
  <si>
    <t>Main d’œuvre pour la casse et nettoyage de la chambre froide négative</t>
  </si>
  <si>
    <t xml:space="preserve">Réparation des chariots de la boulangerie </t>
  </si>
  <si>
    <t>Achat robinet presto urinoir sanitaire public et transport pour récupérer le variateur à ICRAFON</t>
  </si>
  <si>
    <t>Achat d’un disjoncteur 4P – 63A pour alimenter la nouvelle friteuse du traiteur</t>
  </si>
  <si>
    <t xml:space="preserve">Dépannage du module de la chambre de fermentation </t>
  </si>
  <si>
    <t>Achat d’un disjoncteur moteur et un coffret pour la pompe à chlore</t>
  </si>
  <si>
    <t>Suite réparation des restes de chariots de la boulangerie</t>
  </si>
  <si>
    <t>Fourniture et installation du moteur de la chambre de fermentation</t>
  </si>
  <si>
    <t>Achat fiche mal et femelle 32A – 5P pour installer le nouveau grand hachoir de DGM</t>
  </si>
  <si>
    <t xml:space="preserve">Achat poignet porte vestiaire femme + robinet presto pâtisserie + flotteur  </t>
  </si>
  <si>
    <t>Fabrication et fixation des tôles en métal sur les panneaux pub des abri caddie</t>
  </si>
  <si>
    <t xml:space="preserve">Achat des luminaires luminaires du maill </t>
  </si>
  <si>
    <t>Achat de 02 mécanismes pour bidets sanitaire publics</t>
  </si>
  <si>
    <t>prestation remise en route groupe éléctrogène</t>
  </si>
  <si>
    <t>Achat cosses pour batteries</t>
  </si>
  <si>
    <t>Achat spot por éclairage</t>
  </si>
  <si>
    <t>Achat liquide de refroidissement 54 litres</t>
  </si>
  <si>
    <t xml:space="preserve">Achat clés plat </t>
  </si>
  <si>
    <t>Achat gasoil en urgence</t>
  </si>
  <si>
    <t>Achat robinet mitigeur</t>
  </si>
  <si>
    <t xml:space="preserve">Achat mécanisme pour évier </t>
  </si>
  <si>
    <t>Location échaffaudage pour installationn borne wifi</t>
  </si>
  <si>
    <t xml:space="preserve">Remplacement canon </t>
  </si>
  <si>
    <t>TECHNICIEN CONSUMER</t>
  </si>
  <si>
    <t>juin</t>
  </si>
  <si>
    <t>Dépannage électronique des lampes LED (03)</t>
  </si>
  <si>
    <t>Remplacement du tuyau de surface de ventilation de la STEP</t>
  </si>
  <si>
    <t>Remplaceemnt de la serrure de l'armoire cantine</t>
  </si>
  <si>
    <t>Remplacement roulement scie à os bœuf</t>
  </si>
  <si>
    <t>Dépannage électronique des lampes LED (09)</t>
  </si>
  <si>
    <t>Remplacement du canon bureau RH</t>
  </si>
  <si>
    <t>Nettoyage de tous les locaux techniques (Local fuel-TGBT-TGS-Local comptage - Assainissement accès GE Playce) + Remplissage des bac à sable</t>
  </si>
  <si>
    <t>Remplacement du bouton marche-arrêt de la scie à os</t>
  </si>
  <si>
    <t>Remplacement des roues de chariot (08) dn80</t>
  </si>
  <si>
    <t>Correction de la charpente de la terrasse restaurant</t>
  </si>
  <si>
    <t>Installation Baie vitrée partie haute des ombrières</t>
  </si>
  <si>
    <t>Fourniture et installation d'un store vertical motorisé</t>
  </si>
  <si>
    <t>Fourniture de rideau lanière</t>
  </si>
  <si>
    <t>Remplacement de 04 plaques chauffantes sur l'ancien Piano D22cm</t>
  </si>
  <si>
    <t>refection de la pare prise cassée</t>
  </si>
  <si>
    <t>Correction des repose pâtons boulangerie</t>
  </si>
  <si>
    <t>Remplacement projecteurs food court</t>
  </si>
  <si>
    <t>Refection du plafond à l'entrée du SAS 12m²</t>
  </si>
  <si>
    <t>Remplacement du régulateur de la friteuse à beignet EVCO</t>
  </si>
  <si>
    <t>Remplacement du poignet M-1825 de la porte</t>
  </si>
  <si>
    <t xml:space="preserve">Travaux d'aménagement bétonné des accotements en façade principal </t>
  </si>
  <si>
    <t>Remplacement pompe STEP et boîtier de commande</t>
  </si>
  <si>
    <t>Mise en disposition de la maintenance d'un mètre de 08m</t>
  </si>
  <si>
    <t>Remplacement de la manchette souple de tous les extracteur</t>
  </si>
  <si>
    <t>Remplacement de la lime à couteau</t>
  </si>
  <si>
    <t>Bouchage des trous d'accès de reptiles</t>
  </si>
  <si>
    <t>Remplacement des condensateurs des climatiseurs du PCS</t>
  </si>
  <si>
    <t>Remplacement du compteur divisionnel de la Force du Poulet</t>
  </si>
  <si>
    <t>Entretien à 250h du Chariot TOYOTA</t>
  </si>
  <si>
    <t>Remplacement de la courroie A33 du pétrin</t>
  </si>
  <si>
    <t>Renouvellement de stock des scie à os bœuf (25)</t>
  </si>
  <si>
    <t>Renouvellement de stock lampes UV pour attrape mouche</t>
  </si>
  <si>
    <t>Fixation des panneaux des fours rotatifs</t>
  </si>
  <si>
    <t>Remplacement du compresseur R290 et accessoir</t>
  </si>
  <si>
    <t xml:space="preserve">Remplacement de 06 roues de chariots </t>
  </si>
  <si>
    <t>Remplacement du DPN 20A du meuble charcuterie</t>
  </si>
  <si>
    <t>Remplacement Serrure vestiaire homme</t>
  </si>
  <si>
    <t>Manutention pour le remplacement de 06 ventilateurs dn800 des rooftop</t>
  </si>
  <si>
    <t>Refection de la tuayuterie d'évacuation d'eau de la chambre froide et salle de coupe</t>
  </si>
  <si>
    <t>Remplacement du robinet mitigeur de l'évier</t>
  </si>
  <si>
    <t>Remplacement du Robinet et vanne d'arrêt</t>
  </si>
  <si>
    <t>Remplacement du tuyau compression local déchet et flexible lave main toilette femme</t>
  </si>
  <si>
    <t>Remplacement serrure PCS</t>
  </si>
  <si>
    <t xml:space="preserve">Replacement de la serrure défectueuse  dans les vestiaire femmes </t>
  </si>
  <si>
    <t>Pose d'un nouveau miroir toilette homme</t>
  </si>
  <si>
    <t xml:space="preserve">Soudure des chariots cassés </t>
  </si>
  <si>
    <t>Revêtement de peinture des caisses rouillées</t>
  </si>
  <si>
    <t>remplacement fiches et prises des réfrigérateurs (présentoires de boissons)</t>
  </si>
  <si>
    <t>Dépannage des afficheurs de température des meubles froids</t>
  </si>
  <si>
    <t>Remplacement prise du stérilisateur et correction de l'axe de la machine  chawarma</t>
  </si>
  <si>
    <t xml:space="preserve">Remplacement du flexible pour le robinet du lave main </t>
  </si>
  <si>
    <t xml:space="preserve">Remplacement de quatre roues de chariot haute température </t>
  </si>
  <si>
    <t>Remplacement éléments d'évacuation de la plonge</t>
  </si>
  <si>
    <t>Remplacement Prise de râpe électrique </t>
  </si>
  <si>
    <t>Remplacement d'un bouton poussoir de la Balancelle</t>
  </si>
  <si>
    <t>Dépannage de 02 afficheurs de température des meubles Trad</t>
  </si>
  <si>
    <t xml:space="preserve">Dépannage de 01 module de type AKCC5550 </t>
  </si>
  <si>
    <t xml:space="preserve">Dépannage de 02 modules de type AKCC5550 </t>
  </si>
  <si>
    <t>Remplacement serrure caisse centrale</t>
  </si>
  <si>
    <t>Refixation des reposes paton de la balancelle</t>
  </si>
  <si>
    <t xml:space="preserve">Achat roues de chariots </t>
  </si>
  <si>
    <t>Fabrication des Interrupteur  des sterisateurs de couteau</t>
  </si>
  <si>
    <t>Remplacement des poignets des battants des sterisateurs de couteau</t>
  </si>
  <si>
    <t>Installation d'onduleur 3KVA pour sécourir les appareils sensibles (Onduleur 40 KVA HS)</t>
  </si>
  <si>
    <t>Fourniture de 09 câbles onduleur APC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</si>
</sst>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CFA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entury Gothic"/>
      <family val="2"/>
    </font>
    <font>
      <sz val="12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/>
    <xf numFmtId="164" fontId="2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7" fillId="3" borderId="2" xfId="0" applyNumberFormat="1" applyFont="1" applyFill="1" applyBorder="1" applyAlignment="1">
      <alignment horizontal="centerContinuous" vertical="center"/>
    </xf>
    <xf numFmtId="49" fontId="7" fillId="3" borderId="3" xfId="0" applyNumberFormat="1" applyFont="1" applyFill="1" applyBorder="1" applyAlignment="1">
      <alignment horizontal="centerContinuous" vertical="center"/>
    </xf>
    <xf numFmtId="49" fontId="7" fillId="3" borderId="3" xfId="0" applyNumberFormat="1" applyFont="1" applyFill="1" applyBorder="1" applyAlignment="1">
      <alignment horizontal="centerContinuous" vertical="center" wrapText="1"/>
    </xf>
    <xf numFmtId="49" fontId="7" fillId="3" borderId="3" xfId="0" applyNumberFormat="1" applyFont="1" applyFill="1" applyBorder="1" applyAlignment="1">
      <alignment horizontal="center" vertical="center"/>
    </xf>
    <xf numFmtId="0" fontId="8" fillId="3" borderId="4" xfId="0" applyFont="1" applyFill="1" applyBorder="1"/>
    <xf numFmtId="0" fontId="3" fillId="0" borderId="0" xfId="0" pivotButton="1" applyFont="1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3" fontId="3" fillId="0" borderId="1" xfId="0" applyNumberFormat="1" applyFont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/>
    <xf numFmtId="3" fontId="2" fillId="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indent="3"/>
    </xf>
    <xf numFmtId="164" fontId="7" fillId="3" borderId="3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49" fontId="3" fillId="7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175"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3" formatCode="#,##0"/>
    </dxf>
    <dxf>
      <alignment vertic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horizontal="center"/>
    </dxf>
    <dxf>
      <alignment vertical="center"/>
    </dxf>
    <dxf>
      <numFmt numFmtId="3" formatCode="#,##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horizontal="center"/>
    </dxf>
    <dxf>
      <alignment vertical="center"/>
    </dxf>
    <dxf>
      <numFmt numFmtId="3" formatCode="#,##0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alignment horizontal="center"/>
    </dxf>
    <dxf>
      <alignment vertic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COÛT OPEX</a:t>
            </a:r>
            <a:r>
              <a:rPr lang="en-US" baseline="0"/>
              <a:t> MAINTENANCE PAR MAGASIN -JUIN </a:t>
            </a:r>
            <a:r>
              <a:rPr lang="en-US"/>
              <a:t> 2026</a:t>
            </a:r>
          </a:p>
        </c:rich>
      </c:tx>
      <c:layout>
        <c:manualLayout>
          <c:xMode val="edge"/>
          <c:yMode val="edge"/>
          <c:x val="0.10080280806483348"/>
          <c:y val="6.6444397153058693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660388986030196E-2"/>
          <c:y val="0.21499231514979544"/>
          <c:w val="0.82067930397589195"/>
          <c:h val="0.73085101240797934"/>
        </c:manualLayout>
      </c:layout>
      <c:pie3DChart>
        <c:varyColors val="1"/>
        <c:ser>
          <c:idx val="0"/>
          <c:order val="0"/>
          <c:tx>
            <c:strRef>
              <c:f>'Par magasin'!$F$5</c:f>
              <c:strCache>
                <c:ptCount val="1"/>
                <c:pt idx="0">
                  <c:v>MONTANT (XAF)</c:v>
                </c:pt>
              </c:strCache>
            </c:strRef>
          </c:tx>
          <c:explosion val="1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A54-4873-B4AD-B83BC072EF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A54-4873-B4AD-B83BC072EF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A54-4873-B4AD-B83BC072EF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A54-4873-B4AD-B83BC072EF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A54-4873-B4AD-B83BC072EF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A54-4873-B4AD-B83BC072EF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A54-4873-B4AD-B83BC072EF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A54-4873-B4AD-B83BC072EFCE}"/>
              </c:ext>
            </c:extLst>
          </c:dPt>
          <c:dLbls>
            <c:dLbl>
              <c:idx val="0"/>
              <c:layout>
                <c:manualLayout>
                  <c:x val="2.9127137912881799E-3"/>
                  <c:y val="-6.04600184645427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54-4873-B4AD-B83BC072EFCE}"/>
                </c:ext>
              </c:extLst>
            </c:dLbl>
            <c:dLbl>
              <c:idx val="1"/>
              <c:layout>
                <c:manualLayout>
                  <c:x val="0.10025062656641613"/>
                  <c:y val="-7.593924860111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54-4873-B4AD-B83BC072EFCE}"/>
                </c:ext>
              </c:extLst>
            </c:dLbl>
            <c:dLbl>
              <c:idx val="2"/>
              <c:layout>
                <c:manualLayout>
                  <c:x val="6.4197530864197355E-2"/>
                  <c:y val="-7.46855345911950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54-4873-B4AD-B83BC072EFCE}"/>
                </c:ext>
              </c:extLst>
            </c:dLbl>
            <c:dLbl>
              <c:idx val="3"/>
              <c:layout>
                <c:manualLayout>
                  <c:x val="2.9629629629629631E-2"/>
                  <c:y val="9.43396226415094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4-4873-B4AD-B83BC072EFCE}"/>
                </c:ext>
              </c:extLst>
            </c:dLbl>
            <c:dLbl>
              <c:idx val="4"/>
              <c:layout>
                <c:manualLayout>
                  <c:x val="-0.10617283950617284"/>
                  <c:y val="3.93081761006289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54-4873-B4AD-B83BC072EFCE}"/>
                </c:ext>
              </c:extLst>
            </c:dLbl>
            <c:dLbl>
              <c:idx val="5"/>
              <c:layout>
                <c:manualLayout>
                  <c:x val="-0.1858700806069227"/>
                  <c:y val="-3.85326488885021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54-4873-B4AD-B83BC072EFCE}"/>
                </c:ext>
              </c:extLst>
            </c:dLbl>
            <c:dLbl>
              <c:idx val="6"/>
              <c:layout>
                <c:manualLayout>
                  <c:x val="-0.11637209111307747"/>
                  <c:y val="-8.73554134462474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54-4873-B4AD-B83BC072EFC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A54-4873-B4AD-B83BC072EFC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'Par magasin'!$E$6:$E$13</c:f>
              <c:strCache>
                <c:ptCount val="8"/>
                <c:pt idx="0">
                  <c:v>AKWA-DUBAI</c:v>
                </c:pt>
                <c:pt idx="1">
                  <c:v>ANCIEN DALIP</c:v>
                </c:pt>
                <c:pt idx="2">
                  <c:v>BONABERI</c:v>
                </c:pt>
                <c:pt idx="3">
                  <c:v>BONAMOUSSADI</c:v>
                </c:pt>
                <c:pt idx="4">
                  <c:v>ENTREPOT</c:v>
                </c:pt>
                <c:pt idx="5">
                  <c:v>LOGPOM</c:v>
                </c:pt>
                <c:pt idx="6">
                  <c:v>BU BALI</c:v>
                </c:pt>
                <c:pt idx="7">
                  <c:v>DOMICILES EXPATS</c:v>
                </c:pt>
              </c:strCache>
            </c:strRef>
          </c:cat>
          <c:val>
            <c:numRef>
              <c:f>'Par magasin'!$F$6:$F$13</c:f>
              <c:numCache>
                <c:formatCode>#,##0</c:formatCode>
                <c:ptCount val="8"/>
                <c:pt idx="0">
                  <c:v>828561</c:v>
                </c:pt>
                <c:pt idx="1">
                  <c:v>867000</c:v>
                </c:pt>
                <c:pt idx="2">
                  <c:v>7254203</c:v>
                </c:pt>
                <c:pt idx="3">
                  <c:v>7609221.0499999998</c:v>
                </c:pt>
                <c:pt idx="4">
                  <c:v>3416902</c:v>
                </c:pt>
                <c:pt idx="5">
                  <c:v>731881</c:v>
                </c:pt>
                <c:pt idx="6">
                  <c:v>43200</c:v>
                </c:pt>
                <c:pt idx="7">
                  <c:v>136500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4-4873-B4AD-B83BC072EFC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COÛT MENSUEL OPEX MAINTENANCE PAR MAGASIN  -JUIN 2026</a:t>
            </a:r>
          </a:p>
          <a:p>
            <a:pPr>
              <a:defRPr/>
            </a:pPr>
            <a:r>
              <a:rPr lang="en-US"/>
              <a:t>(XAF)</a:t>
            </a:r>
            <a:endParaRPr lang="fr-CM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'Par magasin'!$F$5</c:f>
              <c:strCache>
                <c:ptCount val="1"/>
                <c:pt idx="0">
                  <c:v>MONTANT (XAF)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 magasin'!$E$6:$E$12</c:f>
              <c:strCache>
                <c:ptCount val="7"/>
                <c:pt idx="0">
                  <c:v>AKWA-DUBAI</c:v>
                </c:pt>
                <c:pt idx="1">
                  <c:v>ANCIEN DALIP</c:v>
                </c:pt>
                <c:pt idx="2">
                  <c:v>BONABERI</c:v>
                </c:pt>
                <c:pt idx="3">
                  <c:v>BONAMOUSSADI</c:v>
                </c:pt>
                <c:pt idx="4">
                  <c:v>ENTREPOT</c:v>
                </c:pt>
                <c:pt idx="5">
                  <c:v>LOGPOM</c:v>
                </c:pt>
                <c:pt idx="6">
                  <c:v>BU BALI</c:v>
                </c:pt>
              </c:strCache>
            </c:strRef>
          </c:cat>
          <c:val>
            <c:numRef>
              <c:f>'Par magasin'!$F$6:$F$12</c:f>
              <c:numCache>
                <c:formatCode>#,##0</c:formatCode>
                <c:ptCount val="7"/>
                <c:pt idx="0">
                  <c:v>828561</c:v>
                </c:pt>
                <c:pt idx="1">
                  <c:v>867000</c:v>
                </c:pt>
                <c:pt idx="2">
                  <c:v>7254203</c:v>
                </c:pt>
                <c:pt idx="3">
                  <c:v>7609221.0499999998</c:v>
                </c:pt>
                <c:pt idx="4">
                  <c:v>3416902</c:v>
                </c:pt>
                <c:pt idx="5">
                  <c:v>731881</c:v>
                </c:pt>
                <c:pt idx="6">
                  <c:v>43200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9-4AB2-A9BF-10A271B70B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551814271"/>
        <c:axId val="2037233711"/>
        <c:axId val="0"/>
      </c:bar3DChart>
      <c:catAx>
        <c:axId val="155181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7233711"/>
        <c:crosses val="autoZero"/>
        <c:auto val="1"/>
        <c:lblAlgn val="ctr"/>
        <c:lblOffset val="100"/>
        <c:noMultiLvlLbl val="0"/>
      </c:catAx>
      <c:valAx>
        <c:axId val="2037233711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55181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financier Maintenance _ juin 2026.xlsx]Par Localisation par magasin!Tableau croisé dynamique3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Cambria" panose="02040503050406030204" pitchFamily="18" charset="0"/>
                <a:ea typeface="Cambria" panose="02040503050406030204" pitchFamily="18" charset="0"/>
              </a:rPr>
              <a:t>COÛT MENSUEL OPEX MAINTENANCE PAR ZONING</a:t>
            </a:r>
            <a:r>
              <a:rPr lang="en-US" sz="1100" baseline="0">
                <a:latin typeface="Cambria" panose="02040503050406030204" pitchFamily="18" charset="0"/>
                <a:ea typeface="Cambria" panose="02040503050406030204" pitchFamily="18" charset="0"/>
              </a:rPr>
              <a:t> PAR </a:t>
            </a:r>
            <a:r>
              <a:rPr lang="en-US" sz="1100">
                <a:latin typeface="Cambria" panose="02040503050406030204" pitchFamily="18" charset="0"/>
                <a:ea typeface="Cambria" panose="02040503050406030204" pitchFamily="18" charset="0"/>
              </a:rPr>
              <a:t>MAGASIN (XAF)</a:t>
            </a:r>
          </a:p>
          <a:p>
            <a:pPr>
              <a:defRPr/>
            </a:pPr>
            <a:r>
              <a:rPr lang="en-US" sz="1100">
                <a:latin typeface="Cambria" panose="02040503050406030204" pitchFamily="18" charset="0"/>
                <a:ea typeface="Cambria" panose="02040503050406030204" pitchFamily="18" charset="0"/>
              </a:rPr>
              <a:t>JUIN 2026</a:t>
            </a:r>
            <a:r>
              <a:rPr lang="en-US" sz="1100" baseline="0">
                <a:latin typeface="Cambria" panose="02040503050406030204" pitchFamily="18" charset="0"/>
                <a:ea typeface="Cambria" panose="02040503050406030204" pitchFamily="18" charset="0"/>
              </a:rPr>
              <a:t> </a:t>
            </a:r>
            <a:endParaRPr lang="en-US" sz="1100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pattFill prst="pct5">
            <a:fgClr>
              <a:schemeClr val="accent1"/>
            </a:fgClr>
            <a:bgClr>
              <a:schemeClr val="bg1"/>
            </a:bgClr>
          </a:patt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'Par Localisation par magasin'!$B$3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pct5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'Par Localisation par magasin'!$A$4:$A$16</c:f>
              <c:multiLvlStrCache>
                <c:ptCount val="4"/>
                <c:lvl>
                  <c:pt idx="0">
                    <c:v>juin</c:v>
                  </c:pt>
                  <c:pt idx="1">
                    <c:v>juin</c:v>
                  </c:pt>
                  <c:pt idx="2">
                    <c:v>juin</c:v>
                  </c:pt>
                  <c:pt idx="3">
                    <c:v>juin</c:v>
                  </c:pt>
                </c:lvl>
                <c:lvl>
                  <c:pt idx="0">
                    <c:v>Bureaux / Locaux sociaux</c:v>
                  </c:pt>
                  <c:pt idx="1">
                    <c:v>Extérieur / Parking</c:v>
                  </c:pt>
                  <c:pt idx="2">
                    <c:v>Locaux Techniques</c:v>
                  </c:pt>
                  <c:pt idx="3">
                    <c:v>Bureaux / Locaux sociaux</c:v>
                  </c:pt>
                </c:lvl>
                <c:lvl>
                  <c:pt idx="0">
                    <c:v>ENTREPOT</c:v>
                  </c:pt>
                  <c:pt idx="3">
                    <c:v>ENTREPOT</c:v>
                  </c:pt>
                </c:lvl>
                <c:lvl>
                  <c:pt idx="0">
                    <c:v>OPEX</c:v>
                  </c:pt>
                  <c:pt idx="3">
                    <c:v>(vide)</c:v>
                  </c:pt>
                </c:lvl>
              </c:multiLvlStrCache>
            </c:multiLvlStrRef>
          </c:cat>
          <c:val>
            <c:numRef>
              <c:f>'Par Localisation par magasin'!$B$4:$B$16</c:f>
              <c:numCache>
                <c:formatCode>#,##0</c:formatCode>
                <c:ptCount val="4"/>
                <c:pt idx="0">
                  <c:v>765271</c:v>
                </c:pt>
                <c:pt idx="1">
                  <c:v>1005631</c:v>
                </c:pt>
                <c:pt idx="2">
                  <c:v>1646000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7-445D-9168-79D776D5C1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40019439"/>
        <c:axId val="1750943775"/>
        <c:axId val="0"/>
      </c:bar3DChart>
      <c:catAx>
        <c:axId val="204001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0943775"/>
        <c:crosses val="autoZero"/>
        <c:auto val="1"/>
        <c:lblAlgn val="ctr"/>
        <c:lblOffset val="100"/>
        <c:noMultiLvlLbl val="0"/>
      </c:catAx>
      <c:valAx>
        <c:axId val="1750943775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20400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[Suivi financier Maintenance _ juin 2026.xlsx]Par C.E. par magasin!Tableau croisé dynamique3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Cambria" panose="02040503050406030204" pitchFamily="18" charset="0"/>
                <a:ea typeface="Cambria" panose="02040503050406030204" pitchFamily="18" charset="0"/>
              </a:rPr>
              <a:t>COÛT MENSUEL OPEX MAINTENANCE PAR CORPS D'ETAT PAR MAGASIN (XAF)</a:t>
            </a:r>
          </a:p>
          <a:p>
            <a:pPr>
              <a:defRPr/>
            </a:pPr>
            <a:r>
              <a:rPr lang="en-US" sz="1100">
                <a:latin typeface="Cambria" panose="02040503050406030204" pitchFamily="18" charset="0"/>
                <a:ea typeface="Cambria" panose="02040503050406030204" pitchFamily="18" charset="0"/>
              </a:rPr>
              <a:t>JUIN 2026</a:t>
            </a:r>
            <a:r>
              <a:rPr lang="en-US" sz="1100" baseline="0">
                <a:latin typeface="Cambria" panose="02040503050406030204" pitchFamily="18" charset="0"/>
                <a:ea typeface="Cambria" panose="02040503050406030204" pitchFamily="18" charset="0"/>
              </a:rPr>
              <a:t> </a:t>
            </a:r>
            <a:endParaRPr lang="en-US" sz="1100"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pct5">
            <a:fgClr>
              <a:schemeClr val="accent1"/>
            </a:fgClr>
            <a:bgClr>
              <a:schemeClr val="bg1"/>
            </a:bgClr>
          </a:patt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'Par C.E. par magasin'!$B$3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pct5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'Par C.E. par magasin'!$A$4:$A$12</c:f>
              <c:multiLvlStrCache>
                <c:ptCount val="3"/>
                <c:lvl>
                  <c:pt idx="0">
                    <c:v>juin</c:v>
                  </c:pt>
                  <c:pt idx="1">
                    <c:v>juin</c:v>
                  </c:pt>
                  <c:pt idx="2">
                    <c:v>juin</c:v>
                  </c:pt>
                </c:lvl>
                <c:lvl>
                  <c:pt idx="0">
                    <c:v>Electricité CFO</c:v>
                  </c:pt>
                  <c:pt idx="1">
                    <c:v>Mécanique</c:v>
                  </c:pt>
                  <c:pt idx="2">
                    <c:v>Moyens de secours</c:v>
                  </c:pt>
                </c:lvl>
                <c:lvl>
                  <c:pt idx="0">
                    <c:v>ENTREPOT</c:v>
                  </c:pt>
                </c:lvl>
                <c:lvl>
                  <c:pt idx="0">
                    <c:v>OPEX</c:v>
                  </c:pt>
                </c:lvl>
              </c:multiLvlStrCache>
            </c:multiLvlStrRef>
          </c:cat>
          <c:val>
            <c:numRef>
              <c:f>'Par C.E. par magasin'!$B$4:$B$12</c:f>
              <c:numCache>
                <c:formatCode>#,##0</c:formatCode>
                <c:ptCount val="3"/>
                <c:pt idx="0">
                  <c:v>1646000</c:v>
                </c:pt>
                <c:pt idx="1">
                  <c:v>1005631</c:v>
                </c:pt>
                <c:pt idx="2">
                  <c:v>765271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C-429A-8D06-E6E865CAA3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040019439"/>
        <c:axId val="1750943775"/>
        <c:axId val="0"/>
      </c:bar3DChart>
      <c:catAx>
        <c:axId val="204001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50943775"/>
        <c:crosses val="autoZero"/>
        <c:auto val="1"/>
        <c:lblAlgn val="ctr"/>
        <c:lblOffset val="100"/>
        <c:noMultiLvlLbl val="0"/>
      </c:catAx>
      <c:valAx>
        <c:axId val="1750943775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20400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24</xdr:row>
      <xdr:rowOff>30480</xdr:rowOff>
    </xdr:from>
    <xdr:to>
      <xdr:col>4</xdr:col>
      <xdr:colOff>769620</xdr:colOff>
      <xdr:row>48</xdr:row>
      <xdr:rowOff>53340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C913611-963A-4F42-99D6-C0D6D893D5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160020</xdr:rowOff>
    </xdr:from>
    <xdr:to>
      <xdr:col>19</xdr:col>
      <xdr:colOff>144780</xdr:colOff>
      <xdr:row>40</xdr:row>
      <xdr:rowOff>106680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A371216-148F-4D6A-93AE-153F4481C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13</xdr:row>
      <xdr:rowOff>53340</xdr:rowOff>
    </xdr:from>
    <xdr:to>
      <xdr:col>13</xdr:col>
      <xdr:colOff>365760</xdr:colOff>
      <xdr:row>34</xdr:row>
      <xdr:rowOff>30480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7186817-43B0-4A4A-9E35-76B70AD99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60960</xdr:rowOff>
    </xdr:from>
    <xdr:to>
      <xdr:col>13</xdr:col>
      <xdr:colOff>320040</xdr:colOff>
      <xdr:row>36</xdr:row>
      <xdr:rowOff>22860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AFC9A17-B1FA-4444-9097-3F4335476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no EKANGO" refreshedDate="46205.325223263892" createdVersion="6" refreshedVersion="6" minRefreshableVersion="3" recordCount="196" xr:uid="{CBBB48BB-BE40-4B12-828D-0F1BC03210CA}">
  <cacheSource type="worksheet">
    <worksheetSource ref="A4:M200" sheet="Suivi Dépense"/>
  </cacheSource>
  <cacheFields count="14">
    <cacheField name="SITE" numFmtId="49">
      <sharedItems containsBlank="1" count="11">
        <s v="AKWA-DUBAI"/>
        <s v="ANCIEN DALIP"/>
        <s v="BONABERI"/>
        <s v="BONAMOUSSADI"/>
        <s v="BU BALI"/>
        <s v="EKIE"/>
        <s v="ENTREPOT"/>
        <s v="LOGPOM"/>
        <s v="WARDA"/>
        <s v="DOMICILES EXPATS"/>
        <m/>
      </sharedItems>
    </cacheField>
    <cacheField name="IMPUTATION" numFmtId="49">
      <sharedItems containsBlank="1"/>
    </cacheField>
    <cacheField name="LOCALISATION" numFmtId="49">
      <sharedItems containsBlank="1" count="11">
        <s v="Extérieur / Parking"/>
        <s v="Surface de Vente"/>
        <s v="Boucherie"/>
        <s v="Bureaux / Locaux sociaux"/>
        <s v="Locaux Techniques"/>
        <s v="Meubles froids"/>
        <s v="Traiteur"/>
        <s v="Chambres Froides"/>
        <s v="Boulangerie"/>
        <s v="Poissonerie"/>
        <m/>
      </sharedItems>
    </cacheField>
    <cacheField name="CORPS D'ETAT" numFmtId="49">
      <sharedItems containsBlank="1" count="10">
        <s v="Génie Civil / Bâtiment"/>
        <s v="Climatisation / Ventilation"/>
        <s v="Equipements de Prod."/>
        <s v="Mécanique"/>
        <s v="Froid alimentaire"/>
        <s v="Plomberie Sanitaire"/>
        <s v="Electricité CFO"/>
        <s v="Moyens de secours"/>
        <s v="Plomberie Industrielle (SI)"/>
        <m/>
      </sharedItems>
    </cacheField>
    <cacheField name="TYPES DE TRAVAUX" numFmtId="49">
      <sharedItems containsBlank="1"/>
    </cacheField>
    <cacheField name="DESCRIPTION DES TRAVAUX / PANNES" numFmtId="0">
      <sharedItems containsBlank="1"/>
    </cacheField>
    <cacheField name="MONTANT" numFmtId="164">
      <sharedItems containsString="0" containsBlank="1" containsNumber="1" minValue="500" maxValue="2469000"/>
    </cacheField>
    <cacheField name="CRITICITE" numFmtId="49">
      <sharedItems containsBlank="1"/>
    </cacheField>
    <cacheField name="NATURE DU FINANCEMENT (CAPEX/OPEX)" numFmtId="49">
      <sharedItems containsBlank="1" count="2">
        <s v="OPEX"/>
        <m/>
      </sharedItems>
    </cacheField>
    <cacheField name="GESTION DU PAIEMENT" numFmtId="49">
      <sharedItems containsBlank="1"/>
    </cacheField>
    <cacheField name="DATE DE DEPENSE / PROVISION" numFmtId="14">
      <sharedItems containsNonDate="0" containsDate="1" containsString="0" containsBlank="1" minDate="2026-05-01T00:00:00" maxDate="2026-06-27T00:00:00" count="45">
        <d v="2026-05-20T00:00:00"/>
        <d v="2026-05-25T00:00:00"/>
        <d v="2026-05-07T00:00:00"/>
        <d v="2026-05-04T00:00:00"/>
        <d v="2026-05-09T00:00:00"/>
        <d v="2026-05-29T00:00:00"/>
        <d v="2026-05-22T00:00:00"/>
        <d v="2026-05-08T00:00:00"/>
        <d v="2026-05-12T00:00:00"/>
        <d v="2026-05-13T00:00:00"/>
        <d v="2026-05-15T00:00:00"/>
        <d v="2026-05-06T00:00:00"/>
        <d v="2026-05-26T00:00:00"/>
        <d v="2026-05-17T00:00:00"/>
        <d v="2026-05-18T00:00:00"/>
        <d v="2026-05-01T00:00:00"/>
        <d v="2026-05-05T00:00:00"/>
        <d v="2026-05-14T00:00:00"/>
        <d v="2026-05-16T00:00:00"/>
        <d v="2026-05-27T00:00:00"/>
        <d v="2026-05-28T00:00:00"/>
        <d v="2026-05-02T00:00:00"/>
        <d v="2026-05-21T00:00:00"/>
        <d v="2026-05-19T00:00:00"/>
        <d v="2026-05-23T00:00:00"/>
        <d v="2026-06-02T00:00:00"/>
        <d v="2026-06-17T00:00:00"/>
        <d v="2026-06-25T00:00:00"/>
        <d v="2026-06-18T00:00:00"/>
        <d v="2026-06-23T00:00:00"/>
        <d v="2026-06-24T00:00:00"/>
        <d v="2026-06-03T00:00:00"/>
        <d v="2026-06-05T00:00:00"/>
        <d v="2026-06-08T00:00:00"/>
        <d v="2026-06-26T00:00:00"/>
        <d v="2026-06-16T00:00:00"/>
        <d v="2026-06-01T00:00:00"/>
        <d v="2026-06-10T00:00:00"/>
        <d v="2026-06-04T00:00:00"/>
        <d v="2026-06-11T00:00:00"/>
        <d v="2026-06-14T00:00:00"/>
        <d v="2026-06-09T00:00:00"/>
        <d v="2026-06-06T00:00:00"/>
        <d v="2026-06-12T00:00:00"/>
        <m/>
      </sharedItems>
      <fieldGroup par="13" base="10">
        <rangePr groupBy="days" startDate="2026-05-01T00:00:00" endDate="2026-06-27T00:00:00"/>
        <groupItems count="368">
          <s v="(vide)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27/06/2026"/>
        </groupItems>
      </fieldGroup>
    </cacheField>
    <cacheField name="COMMENTAIRES" numFmtId="49">
      <sharedItems containsNonDate="0" containsString="0" containsBlank="1"/>
    </cacheField>
    <cacheField name="ENTREPRISES" numFmtId="0">
      <sharedItems containsBlank="1"/>
    </cacheField>
    <cacheField name="Mois" numFmtId="0" databaseField="0">
      <fieldGroup base="10">
        <rangePr groupBy="months" startDate="2026-05-01T00:00:00" endDate="2026-06-27T00:00:00"/>
        <groupItems count="14">
          <s v="&lt;01/05/2026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7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s v="ADIALEA"/>
    <x v="0"/>
    <x v="0"/>
    <s v="Maint. Corrective"/>
    <s v="remplacement carrelage à l'entrée du magasin "/>
    <n v="975000"/>
    <s v="Haute"/>
    <x v="0"/>
    <s v="Bon de commande"/>
    <x v="0"/>
    <m/>
    <m/>
  </r>
  <r>
    <x v="0"/>
    <s v="ADIALEA"/>
    <x v="1"/>
    <x v="1"/>
    <s v="Maint. Corrective"/>
    <s v="rémise en étét de bon fonctionnement Rooftop"/>
    <n v="250000"/>
    <s v="Normale"/>
    <x v="0"/>
    <s v="Bon de commande"/>
    <x v="1"/>
    <m/>
    <m/>
  </r>
  <r>
    <x v="0"/>
    <s v="ADIALEA"/>
    <x v="2"/>
    <x v="2"/>
    <s v="Maint. Préventive"/>
    <s v="constitution stock lames de scies et couteau hachoir"/>
    <n v="68970"/>
    <s v="Normale"/>
    <x v="0"/>
    <s v="Bon de commande"/>
    <x v="2"/>
    <m/>
    <m/>
  </r>
  <r>
    <x v="0"/>
    <s v="ADIALEA"/>
    <x v="1"/>
    <x v="3"/>
    <s v="Maint. Corrective"/>
    <s v="founiture verou pour consigne "/>
    <n v="50000"/>
    <s v="Normale"/>
    <x v="0"/>
    <s v="Espèces"/>
    <x v="3"/>
    <m/>
    <m/>
  </r>
  <r>
    <x v="0"/>
    <s v="ADIALEA"/>
    <x v="1"/>
    <x v="2"/>
    <s v="Maint. Préventive"/>
    <s v="founiture de tubes pour attrapes mouches "/>
    <n v="75000"/>
    <s v="Normale"/>
    <x v="0"/>
    <s v="Espèces"/>
    <x v="4"/>
    <m/>
    <m/>
  </r>
  <r>
    <x v="0"/>
    <s v="ADIALEA"/>
    <x v="3"/>
    <x v="0"/>
    <s v="Maint. Corrective"/>
    <s v="remplacement d'un canon sur porte "/>
    <n v="6000"/>
    <s v="Normale"/>
    <x v="0"/>
    <s v="Espèces"/>
    <x v="1"/>
    <m/>
    <m/>
  </r>
  <r>
    <x v="0"/>
    <s v="ADIALEA"/>
    <x v="0"/>
    <x v="3"/>
    <s v="Maint. Préventive"/>
    <s v="renouvellement eau distillé"/>
    <n v="36000"/>
    <s v="Normale"/>
    <x v="0"/>
    <s v="Bon de commande"/>
    <x v="5"/>
    <m/>
    <m/>
  </r>
  <r>
    <x v="1"/>
    <s v="ADIALEA"/>
    <x v="4"/>
    <x v="1"/>
    <s v="Maint. Préventive"/>
    <s v="fourniture d'un tachymètre "/>
    <n v="72250"/>
    <s v="Normale"/>
    <x v="0"/>
    <s v="Bon de commande"/>
    <x v="6"/>
    <m/>
    <m/>
  </r>
  <r>
    <x v="1"/>
    <s v="ADIALEA"/>
    <x v="2"/>
    <x v="2"/>
    <s v="Maint. Préventive"/>
    <s v="constitution stock lames de scies et couteau hachoir"/>
    <n v="628970"/>
    <s v="Normale"/>
    <x v="0"/>
    <s v="Bon de commande"/>
    <x v="2"/>
    <m/>
    <m/>
  </r>
  <r>
    <x v="1"/>
    <s v="ADIALEA"/>
    <x v="5"/>
    <x v="4"/>
    <s v="Maint. Corrective"/>
    <s v="réparation meuble yaourts"/>
    <n v="323200"/>
    <s v="Normale"/>
    <x v="0"/>
    <s v="Bon de commande"/>
    <x v="7"/>
    <m/>
    <m/>
  </r>
  <r>
    <x v="1"/>
    <s v="ADIALEA"/>
    <x v="3"/>
    <x v="5"/>
    <s v="Maint. Corrective"/>
    <s v="remplacement mécanisme des toilettes"/>
    <n v="15000"/>
    <s v="Normale"/>
    <x v="0"/>
    <s v="Espèces"/>
    <x v="3"/>
    <m/>
    <m/>
  </r>
  <r>
    <x v="1"/>
    <s v="ADIALEA"/>
    <x v="2"/>
    <x v="2"/>
    <s v="Maint. Préventive"/>
    <s v="fourniture courteaux en boucherie"/>
    <n v="58500"/>
    <s v="Normale"/>
    <x v="0"/>
    <s v="Espèces"/>
    <x v="3"/>
    <m/>
    <m/>
  </r>
  <r>
    <x v="1"/>
    <s v="ADIALEA"/>
    <x v="0"/>
    <x v="0"/>
    <s v="Maint. Corrective"/>
    <s v="fabrication de 08 dalettes "/>
    <n v="240000"/>
    <s v="Normale"/>
    <x v="0"/>
    <s v="Espèces"/>
    <x v="8"/>
    <m/>
    <m/>
  </r>
  <r>
    <x v="1"/>
    <s v="ADIALEA"/>
    <x v="6"/>
    <x v="2"/>
    <s v="Maint. Corrective"/>
    <s v="remplacement commutateur four à pizza"/>
    <n v="20000"/>
    <s v="Normale"/>
    <x v="0"/>
    <s v="Espèces"/>
    <x v="1"/>
    <m/>
    <m/>
  </r>
  <r>
    <x v="1"/>
    <s v="ADIALEA"/>
    <x v="1"/>
    <x v="1"/>
    <s v="Maint. Corrective"/>
    <s v="remplacement disjoncteur c 120c 4p sur rofftop "/>
    <n v="176000"/>
    <s v="Normale"/>
    <x v="0"/>
    <s v="Espèces"/>
    <x v="7"/>
    <m/>
    <m/>
  </r>
  <r>
    <x v="1"/>
    <s v="ADIALEA"/>
    <x v="0"/>
    <x v="3"/>
    <s v="Maint. Préventive"/>
    <s v="renouvellement eau distillé"/>
    <n v="9000"/>
    <s v="Normale"/>
    <x v="0"/>
    <s v="Bon de commande"/>
    <x v="5"/>
    <m/>
    <m/>
  </r>
  <r>
    <x v="2"/>
    <s v="ADIALEA"/>
    <x v="4"/>
    <x v="6"/>
    <s v="Maint. Corrective"/>
    <s v="refection circuit de gaz chaud du groupe élécttogène"/>
    <n v="185000"/>
    <s v="Haute"/>
    <x v="0"/>
    <s v="Bon de commande"/>
    <x v="9"/>
    <m/>
    <m/>
  </r>
  <r>
    <x v="2"/>
    <s v="PLAYCE"/>
    <x v="3"/>
    <x v="7"/>
    <s v="Maint. Préventive"/>
    <s v="vérification extinteurs et RIA "/>
    <n v="198900"/>
    <s v="Normale"/>
    <x v="0"/>
    <s v="Bon de commande"/>
    <x v="8"/>
    <m/>
    <m/>
  </r>
  <r>
    <x v="2"/>
    <s v="ADIALEA"/>
    <x v="3"/>
    <x v="1"/>
    <s v="Maint. Corrective"/>
    <s v="refection circuit  d'évacuation des eau de splits"/>
    <n v="91300"/>
    <s v="Normale"/>
    <x v="0"/>
    <s v="Bon de commande"/>
    <x v="10"/>
    <m/>
    <m/>
  </r>
  <r>
    <x v="2"/>
    <s v="ADIALEA"/>
    <x v="2"/>
    <x v="2"/>
    <s v="Maint. Préventive"/>
    <s v="constitution stock lames de scies et couteau hachoir"/>
    <n v="628970"/>
    <s v="Normale"/>
    <x v="0"/>
    <s v="Bon de commande"/>
    <x v="2"/>
    <m/>
    <m/>
  </r>
  <r>
    <x v="2"/>
    <s v="ADIALEA"/>
    <x v="4"/>
    <x v="6"/>
    <s v="Maint. Corrective"/>
    <s v="calorigugeage du circuit de gaz chaud de GE "/>
    <n v="99650"/>
    <s v="Normale"/>
    <x v="0"/>
    <s v="Espèces"/>
    <x v="7"/>
    <m/>
    <m/>
  </r>
  <r>
    <x v="2"/>
    <s v="ADIALEA"/>
    <x v="4"/>
    <x v="6"/>
    <s v="Maint. Préventive"/>
    <s v="fourniture gasoil "/>
    <n v="2469000"/>
    <s v="Normale"/>
    <x v="0"/>
    <s v="Bon de commande"/>
    <x v="11"/>
    <m/>
    <m/>
  </r>
  <r>
    <x v="2"/>
    <s v="ADIALEA"/>
    <x v="4"/>
    <x v="6"/>
    <s v="Maint. Préventive"/>
    <s v="fourniture gasoil "/>
    <n v="1646000"/>
    <s v="Normale"/>
    <x v="0"/>
    <s v="Bon de commande"/>
    <x v="1"/>
    <m/>
    <m/>
  </r>
  <r>
    <x v="2"/>
    <s v="PLAYCE"/>
    <x v="4"/>
    <x v="6"/>
    <s v="Maint. Préventive"/>
    <s v="fourniture gasoil "/>
    <n v="823000"/>
    <s v="Haute"/>
    <x v="0"/>
    <s v="Bon de commande"/>
    <x v="1"/>
    <m/>
    <m/>
  </r>
  <r>
    <x v="2"/>
    <s v="ADIALEA"/>
    <x v="4"/>
    <x v="6"/>
    <s v="Maint. Préventive"/>
    <s v="fabrication de support pour batteries GE"/>
    <n v="36075"/>
    <s v="Normale"/>
    <x v="0"/>
    <s v="Espèces"/>
    <x v="1"/>
    <m/>
    <m/>
  </r>
  <r>
    <x v="2"/>
    <s v="ADIALEA"/>
    <x v="3"/>
    <x v="5"/>
    <s v="Maint. Préventive"/>
    <s v="fourniture petit materiel pour installation spot toilettes hommes"/>
    <n v="4500"/>
    <s v="Normale"/>
    <x v="0"/>
    <s v="Espèces"/>
    <x v="1"/>
    <m/>
    <m/>
  </r>
  <r>
    <x v="2"/>
    <s v="ADIALEA"/>
    <x v="3"/>
    <x v="0"/>
    <s v="Maint. Préventive"/>
    <s v="réparation robinet exterieur et soudure support metalique sur portail reception"/>
    <n v="13000"/>
    <s v="Normale"/>
    <x v="0"/>
    <s v="Espèces"/>
    <x v="1"/>
    <m/>
    <m/>
  </r>
  <r>
    <x v="2"/>
    <s v="ADIALEA"/>
    <x v="7"/>
    <x v="4"/>
    <s v="Maint. Préventive"/>
    <s v="founiture consommable de maintenance meubles et évaporateurs"/>
    <n v="17500"/>
    <s v="Normale"/>
    <x v="0"/>
    <s v="Espèces"/>
    <x v="1"/>
    <m/>
    <m/>
  </r>
  <r>
    <x v="2"/>
    <s v="ADIALEA"/>
    <x v="7"/>
    <x v="5"/>
    <s v="Maint. Préventive"/>
    <s v="réparation bidet toilette femmes et évier traiteur"/>
    <n v="9500"/>
    <s v="Normale"/>
    <x v="0"/>
    <s v="Espèces"/>
    <x v="1"/>
    <m/>
    <m/>
  </r>
  <r>
    <x v="3"/>
    <s v="ADIALEA"/>
    <x v="2"/>
    <x v="2"/>
    <s v="Maint. Préventive"/>
    <s v="rebobinnage stator ventilateurs des fours de la boulangerie"/>
    <n v="97137"/>
    <s v="Normale"/>
    <x v="0"/>
    <s v="Bon de commande"/>
    <x v="2"/>
    <m/>
    <m/>
  </r>
  <r>
    <x v="3"/>
    <s v="ADIALEA"/>
    <x v="2"/>
    <x v="2"/>
    <s v="Maint. Préventive"/>
    <s v="remplacement plaque de découpe en polyéthylène - rouge"/>
    <n v="500000"/>
    <s v="Haute"/>
    <x v="0"/>
    <s v="Bon de commande"/>
    <x v="0"/>
    <m/>
    <m/>
  </r>
  <r>
    <x v="3"/>
    <s v="PLAYCE"/>
    <x v="0"/>
    <x v="6"/>
    <s v="Maint. Corrective"/>
    <s v="remplacement projecteur "/>
    <n v="612000"/>
    <s v="Normale"/>
    <x v="0"/>
    <s v="Bon de commande"/>
    <x v="8"/>
    <m/>
    <m/>
  </r>
  <r>
    <x v="3"/>
    <s v="PLAYCE"/>
    <x v="4"/>
    <x v="6"/>
    <s v="Maint. Préventive"/>
    <s v="remplacement de batteries "/>
    <n v="380000"/>
    <s v="Normale"/>
    <x v="0"/>
    <s v="Bon de commande"/>
    <x v="12"/>
    <m/>
    <m/>
  </r>
  <r>
    <x v="3"/>
    <s v="PLAYCE"/>
    <x v="4"/>
    <x v="8"/>
    <s v="Maint. Corrective"/>
    <s v="entretien forage"/>
    <n v="207000"/>
    <s v="Normale"/>
    <x v="0"/>
    <s v="Bon de commande"/>
    <x v="13"/>
    <m/>
    <m/>
  </r>
  <r>
    <x v="3"/>
    <s v="ADIALEA"/>
    <x v="7"/>
    <x v="4"/>
    <s v="Maint. Corrective"/>
    <s v="remplacement joints chambre froide négative"/>
    <n v="330000"/>
    <s v="Normale"/>
    <x v="0"/>
    <s v="Bon de commande"/>
    <x v="14"/>
    <m/>
    <m/>
  </r>
  <r>
    <x v="3"/>
    <s v="ADIALEA"/>
    <x v="2"/>
    <x v="2"/>
    <s v="Maint. Préventive"/>
    <s v="constitution stock lames de scies et couteau hachoir"/>
    <n v="1154950"/>
    <s v="Normale"/>
    <x v="0"/>
    <s v="Bon de commande"/>
    <x v="2"/>
    <m/>
    <m/>
  </r>
  <r>
    <x v="3"/>
    <s v="ADIALEA"/>
    <x v="1"/>
    <x v="1"/>
    <s v="Maint. Corrective"/>
    <s v="inspection et répartion fuite sur rooftop N°1 circuit N°2"/>
    <n v="346526"/>
    <s v="Normale"/>
    <x v="0"/>
    <s v="Bon de commande"/>
    <x v="1"/>
    <m/>
    <m/>
  </r>
  <r>
    <x v="3"/>
    <s v="PLAYCE"/>
    <x v="1"/>
    <x v="1"/>
    <s v="Maint. Corrective"/>
    <s v="soudure support de fixation de l'axe de rotation du ventilateur rooftop"/>
    <n v="179441"/>
    <s v="Normale"/>
    <x v="0"/>
    <s v="Bon de commande"/>
    <x v="1"/>
    <m/>
    <m/>
  </r>
  <r>
    <x v="3"/>
    <s v="ADIALEA"/>
    <x v="4"/>
    <x v="7"/>
    <s v="Maint. Corrective"/>
    <s v="installation protection porte coupe feu"/>
    <n v="195000"/>
    <s v="Normale"/>
    <x v="0"/>
    <s v="Bon de commande"/>
    <x v="1"/>
    <m/>
    <m/>
  </r>
  <r>
    <x v="3"/>
    <s v="PLAYCE"/>
    <x v="1"/>
    <x v="1"/>
    <s v="Maint. Corrective"/>
    <s v="réparation gaine textile"/>
    <n v="272904"/>
    <s v="Normale"/>
    <x v="0"/>
    <s v="Bon de commande"/>
    <x v="5"/>
    <m/>
    <m/>
  </r>
  <r>
    <x v="4"/>
    <s v="ADIALEA"/>
    <x v="3"/>
    <x v="1"/>
    <s v="Maint. Corrective"/>
    <s v="réparation climatiseur DRH"/>
    <n v="263000"/>
    <s v="Normale"/>
    <x v="0"/>
    <s v="Bon de commande"/>
    <x v="15"/>
    <m/>
    <m/>
  </r>
  <r>
    <x v="5"/>
    <s v="PLAYCE"/>
    <x v="4"/>
    <x v="7"/>
    <s v="Maint. Préventive"/>
    <s v="Perche de sauvetage 2m 110KV pour Local transformateur"/>
    <n v="165000"/>
    <s v="Normale"/>
    <x v="0"/>
    <s v="Bon de commande"/>
    <x v="16"/>
    <m/>
    <m/>
  </r>
  <r>
    <x v="5"/>
    <s v="ADIALEA"/>
    <x v="6"/>
    <x v="2"/>
    <s v="Maint. Corrective"/>
    <s v="Ballast électronique pour éclairage Hotte"/>
    <n v="110400"/>
    <s v="Normale"/>
    <x v="0"/>
    <s v="Bon de commande"/>
    <x v="2"/>
    <m/>
    <m/>
  </r>
  <r>
    <x v="5"/>
    <s v="ADIALEA"/>
    <x v="4"/>
    <x v="6"/>
    <s v="Maint. Préventive"/>
    <s v="GASOIL 2000L pour ravitaillement Cuve GE"/>
    <n v="1646000"/>
    <s v="Haute"/>
    <x v="0"/>
    <s v="Bon de commande"/>
    <x v="7"/>
    <m/>
    <m/>
  </r>
  <r>
    <x v="5"/>
    <s v="PLAYCE"/>
    <x v="4"/>
    <x v="6"/>
    <s v="Maint. Préventive"/>
    <s v="GASOIL 1000L pour ravitaillement Cuve GE"/>
    <n v="823000"/>
    <s v="Haute"/>
    <x v="0"/>
    <s v="Bon de commande"/>
    <x v="7"/>
    <m/>
    <m/>
  </r>
  <r>
    <x v="5"/>
    <s v="PLAYCE"/>
    <x v="3"/>
    <x v="0"/>
    <s v="Maint. Corrective"/>
    <s v="Robinet de presto avec accessoires de pose au sanitaire publique femme "/>
    <n v="50000"/>
    <s v="Normale"/>
    <x v="0"/>
    <s v="Espèces"/>
    <x v="17"/>
    <m/>
    <m/>
  </r>
  <r>
    <x v="5"/>
    <s v="PLAYCE"/>
    <x v="3"/>
    <x v="0"/>
    <s v="Maint. Corrective"/>
    <s v="Mécanisme de WC pour sanitaire publique Homme "/>
    <n v="15000"/>
    <s v="Normale"/>
    <x v="0"/>
    <s v="Espèces"/>
    <x v="17"/>
    <m/>
    <m/>
  </r>
  <r>
    <x v="5"/>
    <s v="ADIALEA"/>
    <x v="8"/>
    <x v="2"/>
    <s v="Maint. Corrective"/>
    <s v="Remplacement de 02 boutons poussoirs pour la balancelle"/>
    <n v="19500"/>
    <s v="Normale"/>
    <x v="0"/>
    <s v="Espèces"/>
    <x v="17"/>
    <m/>
    <m/>
  </r>
  <r>
    <x v="5"/>
    <s v="ADIALEA"/>
    <x v="2"/>
    <x v="2"/>
    <s v="Maint. Corrective"/>
    <s v="Remplacement mitigeur pour lavabo"/>
    <n v="49000"/>
    <s v="Normale"/>
    <x v="0"/>
    <s v="Espèces"/>
    <x v="17"/>
    <m/>
    <m/>
  </r>
  <r>
    <x v="5"/>
    <s v="ADIALEA"/>
    <x v="6"/>
    <x v="2"/>
    <s v="Maint. Corrective"/>
    <s v="Remplacement fiche male 2p+T  pour le dépannage de la plastifieuse "/>
    <n v="1000"/>
    <s v="Normale"/>
    <x v="0"/>
    <s v="Espèces"/>
    <x v="17"/>
    <m/>
    <m/>
  </r>
  <r>
    <x v="5"/>
    <s v="ADIALEA"/>
    <x v="2"/>
    <x v="5"/>
    <s v="Maint. Corrective"/>
    <s v="Remplacement tuyau évacuation des eaux usées en boucherie   "/>
    <n v="22500"/>
    <s v="Normale"/>
    <x v="0"/>
    <s v="Espèces"/>
    <x v="17"/>
    <m/>
    <m/>
  </r>
  <r>
    <x v="5"/>
    <s v="ADIALEA"/>
    <x v="2"/>
    <x v="2"/>
    <s v="Travaux neufs"/>
    <s v="Remplacer la plaque de découpe"/>
    <n v="500000"/>
    <s v="Normale"/>
    <x v="0"/>
    <s v="Bon de commande"/>
    <x v="10"/>
    <m/>
    <m/>
  </r>
  <r>
    <x v="5"/>
    <s v="PLAYCE"/>
    <x v="3"/>
    <x v="0"/>
    <s v="Maint. Corrective"/>
    <s v="Etanchéité zone condenseurs MTN "/>
    <n v="105000"/>
    <s v="Normale"/>
    <x v="0"/>
    <s v="Espèces"/>
    <x v="18"/>
    <m/>
    <m/>
  </r>
  <r>
    <x v="5"/>
    <s v="ADIALEA"/>
    <x v="8"/>
    <x v="4"/>
    <s v="Maint. Corrective"/>
    <s v="Remplacement Module EVCO 24V de la chambre de pousse"/>
    <n v="155783"/>
    <s v="Normale"/>
    <x v="0"/>
    <s v="Bon de commande"/>
    <x v="14"/>
    <m/>
    <m/>
  </r>
  <r>
    <x v="5"/>
    <s v="ADIALEA"/>
    <x v="2"/>
    <x v="4"/>
    <s v="Maint. Corrective"/>
    <s v="Remplacement Régulateur de température TRAD porc et Bœuf"/>
    <n v="1310000"/>
    <s v="Haute"/>
    <x v="0"/>
    <s v="Bon de commande"/>
    <x v="14"/>
    <m/>
    <m/>
  </r>
  <r>
    <x v="5"/>
    <s v="ADIALEA"/>
    <x v="2"/>
    <x v="2"/>
    <s v="Maint. Corrective"/>
    <s v="Remplacement Frein électromagnétique Scie à Os DADAUX"/>
    <n v="245000"/>
    <s v="Haute"/>
    <x v="0"/>
    <s v="Bon de commande"/>
    <x v="14"/>
    <m/>
    <m/>
  </r>
  <r>
    <x v="5"/>
    <s v="PLAYCE"/>
    <x v="0"/>
    <x v="0"/>
    <s v="Maint. Corrective"/>
    <s v="Location echaffaudage pour l'ientretien des enseignes"/>
    <n v="300000"/>
    <s v="Normale"/>
    <x v="0"/>
    <s v="Bon de commande"/>
    <x v="6"/>
    <m/>
    <m/>
  </r>
  <r>
    <x v="5"/>
    <s v="ADIALEA"/>
    <x v="6"/>
    <x v="2"/>
    <s v="Maint. Corrective"/>
    <s v="Remplacement module de commande Meuble Pizza"/>
    <n v="165000"/>
    <s v="Normale"/>
    <x v="0"/>
    <s v="Bon de commande"/>
    <x v="6"/>
    <m/>
    <m/>
  </r>
  <r>
    <x v="5"/>
    <s v="ADIALEA"/>
    <x v="8"/>
    <x v="2"/>
    <s v="Maint. Corrective"/>
    <s v="Remplacement de la courroie de la façonneuse"/>
    <n v="12073"/>
    <s v="Normale"/>
    <x v="0"/>
    <s v="Bon de commande"/>
    <x v="1"/>
    <m/>
    <m/>
  </r>
  <r>
    <x v="5"/>
    <s v="ADIALEA"/>
    <x v="3"/>
    <x v="5"/>
    <s v="Maint. Corrective"/>
    <s v="Dépannage plonge Cantine"/>
    <n v="7000"/>
    <s v="Normale"/>
    <x v="0"/>
    <s v="Bon de commande"/>
    <x v="19"/>
    <m/>
    <m/>
  </r>
  <r>
    <x v="5"/>
    <s v="ADIALEA"/>
    <x v="6"/>
    <x v="2"/>
    <s v="Maint. Corrective"/>
    <s v="Ballasts électroniques PHILIPPS pour tubes T5 (Hotte)"/>
    <n v="142000"/>
    <s v="Normale"/>
    <x v="0"/>
    <s v="Bon de commande"/>
    <x v="20"/>
    <m/>
    <m/>
  </r>
  <r>
    <x v="5"/>
    <s v="ADIALEA"/>
    <x v="8"/>
    <x v="5"/>
    <s v="Maint. Corrective"/>
    <s v="Refection des tuyauterie d'évacuation d'eau de la patisserie"/>
    <n v="22000"/>
    <s v="Normale"/>
    <x v="0"/>
    <s v="Espèces"/>
    <x v="5"/>
    <m/>
    <m/>
  </r>
  <r>
    <x v="5"/>
    <s v="ADIALEA"/>
    <x v="3"/>
    <x v="5"/>
    <s v="Maint. Corrective"/>
    <s v="Remplacement mécanisme chasse toilette homme"/>
    <n v="15000"/>
    <s v="Normale"/>
    <x v="0"/>
    <s v="Espèces"/>
    <x v="5"/>
    <m/>
    <m/>
  </r>
  <r>
    <x v="5"/>
    <s v="ADIALEA"/>
    <x v="1"/>
    <x v="0"/>
    <s v="Maint. Corrective"/>
    <s v="Fixation de la barre de séparation caisse"/>
    <n v="4500"/>
    <s v="Normale"/>
    <x v="0"/>
    <s v="Espèces"/>
    <x v="5"/>
    <m/>
    <m/>
  </r>
  <r>
    <x v="5"/>
    <s v="ADIALEA"/>
    <x v="2"/>
    <x v="2"/>
    <s v="Maint. Corrective"/>
    <s v="Remplacement de la commande Marche-arrêt de la lime"/>
    <n v="13500"/>
    <s v="Normale"/>
    <x v="0"/>
    <s v="Espèces"/>
    <x v="5"/>
    <m/>
    <m/>
  </r>
  <r>
    <x v="5"/>
    <s v="ADIALEA"/>
    <x v="8"/>
    <x v="2"/>
    <s v="Maint. Corrective"/>
    <s v="Renforcement de l'échelle par soudure "/>
    <n v="10000"/>
    <s v="Normale"/>
    <x v="0"/>
    <s v="Espèces"/>
    <x v="5"/>
    <m/>
    <m/>
  </r>
  <r>
    <x v="5"/>
    <s v="ADIALEA"/>
    <x v="6"/>
    <x v="6"/>
    <s v="Maint. Corrective"/>
    <s v="Remplacement des reglettes et prises triphasée"/>
    <n v="128000"/>
    <s v="Normale"/>
    <x v="0"/>
    <s v="Bon de commande"/>
    <x v="5"/>
    <m/>
    <m/>
  </r>
  <r>
    <x v="6"/>
    <s v="ADIALEA"/>
    <x v="0"/>
    <x v="3"/>
    <s v="Maint. Corrective"/>
    <s v="réparation chariot clark"/>
    <n v="145683"/>
    <s v="Normale"/>
    <x v="0"/>
    <s v="Bon de commande"/>
    <x v="11"/>
    <m/>
    <m/>
  </r>
  <r>
    <x v="7"/>
    <s v="ADIALEA"/>
    <x v="4"/>
    <x v="8"/>
    <s v="Maint. Corrective"/>
    <s v="remplacement floteur d'eau"/>
    <n v="15000"/>
    <s v="Haute"/>
    <x v="0"/>
    <s v="Espèces"/>
    <x v="21"/>
    <m/>
    <m/>
  </r>
  <r>
    <x v="7"/>
    <s v="ADIALEA"/>
    <x v="2"/>
    <x v="2"/>
    <s v="Maint. Préventive"/>
    <s v="constitution stock lames de scies et couteau hachoir"/>
    <n v="628970"/>
    <s v="Normale"/>
    <x v="0"/>
    <s v="Bon de commande"/>
    <x v="2"/>
    <m/>
    <m/>
  </r>
  <r>
    <x v="7"/>
    <s v="ADIALEA"/>
    <x v="3"/>
    <x v="5"/>
    <s v="Maint. Corrective"/>
    <s v="remplacement meca poussoir  et robinet "/>
    <n v="25000"/>
    <s v="Normale"/>
    <x v="0"/>
    <s v="Espèces"/>
    <x v="18"/>
    <m/>
    <m/>
  </r>
  <r>
    <x v="7"/>
    <s v="ADIALEA"/>
    <x v="6"/>
    <x v="4"/>
    <s v="Maint. Corrective"/>
    <s v="réparation table réfrégérée traiteut"/>
    <n v="130000"/>
    <s v="Normale"/>
    <x v="0"/>
    <s v="Bon de commande"/>
    <x v="4"/>
    <m/>
    <m/>
  </r>
  <r>
    <x v="7"/>
    <s v="ADIALEA"/>
    <x v="1"/>
    <x v="2"/>
    <s v="Maint. Corrective"/>
    <s v="remplacement halogène sur meuble bain marin"/>
    <n v="15000"/>
    <s v="Normale"/>
    <x v="0"/>
    <s v="Espèces"/>
    <x v="22"/>
    <m/>
    <m/>
  </r>
  <r>
    <x v="7"/>
    <s v="ADIALEA"/>
    <x v="3"/>
    <x v="6"/>
    <s v="Maint. Corrective"/>
    <s v="reparation fuite toilette "/>
    <n v="18000"/>
    <s v="Normale"/>
    <x v="0"/>
    <s v="Espèces"/>
    <x v="22"/>
    <m/>
    <m/>
  </r>
  <r>
    <x v="7"/>
    <s v="ADIALEA"/>
    <x v="4"/>
    <x v="3"/>
    <s v="Maint. Préventive"/>
    <s v="fourniture petit materiel pour interventon"/>
    <n v="15000"/>
    <s v="Haute"/>
    <x v="0"/>
    <s v="Espèces"/>
    <x v="22"/>
    <m/>
    <m/>
  </r>
  <r>
    <x v="7"/>
    <s v="ADIALEA"/>
    <x v="3"/>
    <x v="6"/>
    <s v="Maint. Corrective"/>
    <s v="remplacement spot defectueux"/>
    <n v="19500"/>
    <s v="Normale"/>
    <x v="0"/>
    <s v="Espèces"/>
    <x v="22"/>
    <m/>
    <m/>
  </r>
  <r>
    <x v="7"/>
    <s v="ADIALEA"/>
    <x v="3"/>
    <x v="7"/>
    <s v="Maint. Corrective"/>
    <s v="fourniture bedgesd'accès"/>
    <n v="5000"/>
    <s v="Normale"/>
    <x v="0"/>
    <s v="Espèces"/>
    <x v="22"/>
    <m/>
    <m/>
  </r>
  <r>
    <x v="7"/>
    <s v="ADIALEA"/>
    <x v="1"/>
    <x v="7"/>
    <s v="Maint. Corrective"/>
    <s v="maintenance pontuelle vidéo surveillance"/>
    <n v="65000"/>
    <s v="Normale"/>
    <x v="0"/>
    <s v="Espèces"/>
    <x v="22"/>
    <m/>
    <m/>
  </r>
  <r>
    <x v="7"/>
    <s v="ADIALEA"/>
    <x v="6"/>
    <x v="2"/>
    <s v="Maint. Corrective"/>
    <s v="remplacement fiches male traiteur"/>
    <n v="18000"/>
    <s v="Normale"/>
    <x v="0"/>
    <s v="Espèces"/>
    <x v="22"/>
    <m/>
    <m/>
  </r>
  <r>
    <x v="7"/>
    <s v="ADIALEA"/>
    <x v="1"/>
    <x v="0"/>
    <s v="Maint. Corrective"/>
    <s v="réparation poret ecoulissante "/>
    <n v="123235"/>
    <s v="Normale"/>
    <x v="0"/>
    <s v="Bon de commande"/>
    <x v="12"/>
    <m/>
    <m/>
  </r>
  <r>
    <x v="7"/>
    <s v="ADIALEA"/>
    <x v="1"/>
    <x v="7"/>
    <s v="Maint. Corrective"/>
    <s v="remplacement detecteur de fumée"/>
    <n v="73832"/>
    <s v="Normale"/>
    <x v="0"/>
    <s v="Bon de commande"/>
    <x v="1"/>
    <m/>
    <m/>
  </r>
  <r>
    <x v="7"/>
    <s v="ADIALEA"/>
    <x v="1"/>
    <x v="2"/>
    <s v="Maint. Préventive"/>
    <s v="founiture de tubes pour attrapes mouches "/>
    <n v="75000"/>
    <s v="Normale"/>
    <x v="0"/>
    <s v="Espèces"/>
    <x v="1"/>
    <m/>
    <m/>
  </r>
  <r>
    <x v="7"/>
    <s v="ADIALEA"/>
    <x v="2"/>
    <x v="2"/>
    <s v="Maint. Corrective"/>
    <s v="remplacement module PEGO"/>
    <n v="95000"/>
    <s v="Normale"/>
    <x v="0"/>
    <s v="Bon de commande"/>
    <x v="5"/>
    <m/>
    <m/>
  </r>
  <r>
    <x v="8"/>
    <s v="PLAYCE"/>
    <x v="3"/>
    <x v="0"/>
    <s v="Maint. Corrective"/>
    <s v="Fixation du battant de la porte accès local poubelle"/>
    <n v="2900"/>
    <s v="Normale"/>
    <x v="0"/>
    <s v="Espèces"/>
    <x v="18"/>
    <m/>
    <m/>
  </r>
  <r>
    <x v="8"/>
    <s v="PLAYCE"/>
    <x v="3"/>
    <x v="0"/>
    <s v="Maint. Corrective"/>
    <s v="Revêtement plaque publicitaire du Food-court"/>
    <n v="13500"/>
    <s v="Normale"/>
    <x v="0"/>
    <s v="Espèces"/>
    <x v="10"/>
    <m/>
    <m/>
  </r>
  <r>
    <x v="8"/>
    <s v="ADIALEA"/>
    <x v="7"/>
    <x v="4"/>
    <s v="Maint. Corrective"/>
    <s v="Remplacement ballast du meuble FLEG"/>
    <n v="15000"/>
    <s v="Normale"/>
    <x v="0"/>
    <s v="Espèces"/>
    <x v="18"/>
    <m/>
    <m/>
  </r>
  <r>
    <x v="8"/>
    <s v="ADIALEA"/>
    <x v="1"/>
    <x v="6"/>
    <s v="Maint. Corrective"/>
    <s v="Remplacement du contacteur de la grille entrée Grande surface"/>
    <n v="25000"/>
    <s v="Normale"/>
    <x v="0"/>
    <s v="Espèces"/>
    <x v="23"/>
    <m/>
    <m/>
  </r>
  <r>
    <x v="8"/>
    <s v="ADIALEA"/>
    <x v="7"/>
    <x v="4"/>
    <s v="Maint. Corrective"/>
    <s v="Remplacement fiche mâle et femmelle meuble PIZZA"/>
    <n v="25000"/>
    <s v="Normale"/>
    <x v="0"/>
    <s v="Espèces"/>
    <x v="24"/>
    <m/>
    <m/>
  </r>
  <r>
    <x v="8"/>
    <s v="ADIALEA"/>
    <x v="8"/>
    <x v="4"/>
    <s v="Maint. Corrective"/>
    <s v="Remplacement des joints chambre de fermentation"/>
    <n v="177036"/>
    <s v="Normale"/>
    <x v="0"/>
    <s v="Bon de commande"/>
    <x v="5"/>
    <m/>
    <m/>
  </r>
  <r>
    <x v="8"/>
    <s v="ADIALEA"/>
    <x v="8"/>
    <x v="4"/>
    <s v="Maint. Corrective"/>
    <s v="Remplacement joint d'étanchéité chambre de pousse"/>
    <n v="177036"/>
    <s v="Normale"/>
    <x v="0"/>
    <s v="Bon de commande"/>
    <x v="5"/>
    <m/>
    <m/>
  </r>
  <r>
    <x v="8"/>
    <s v="PLAYCE"/>
    <x v="0"/>
    <x v="0"/>
    <s v="Maint. Corrective"/>
    <s v="Location echaffaudage pour l'ientretien des enseignes"/>
    <n v="300000"/>
    <s v="Normale"/>
    <x v="0"/>
    <s v="Bon de commande"/>
    <x v="6"/>
    <m/>
    <m/>
  </r>
  <r>
    <x v="8"/>
    <s v="ADIALEA"/>
    <x v="9"/>
    <x v="2"/>
    <s v="Travaux neufs"/>
    <s v="Remplacer la plaque de découpe"/>
    <n v="425000"/>
    <s v="Normale"/>
    <x v="0"/>
    <s v="Bon de commande"/>
    <x v="2"/>
    <m/>
    <m/>
  </r>
  <r>
    <x v="8"/>
    <s v="ADIALEA"/>
    <x v="4"/>
    <x v="6"/>
    <s v="Maint. Corrective"/>
    <s v="Vidange GE PRAMAC 550"/>
    <n v="465520"/>
    <s v="Normale"/>
    <x v="0"/>
    <s v="Bon de commande"/>
    <x v="23"/>
    <m/>
    <m/>
  </r>
  <r>
    <x v="8"/>
    <s v="ADIALEA"/>
    <x v="4"/>
    <x v="1"/>
    <s v="Travaux neufs"/>
    <s v="Installation climatiseur 3,25CV dans le local stabilisateur"/>
    <n v="479400"/>
    <s v="Haute"/>
    <x v="0"/>
    <s v="Bon de commande"/>
    <x v="14"/>
    <m/>
    <m/>
  </r>
  <r>
    <x v="8"/>
    <s v="PLAYCE"/>
    <x v="4"/>
    <x v="6"/>
    <s v="Maint. Préventive"/>
    <s v="GASOIL 1000L pour ravitaillement Cuve GE"/>
    <n v="823000"/>
    <s v="Haute"/>
    <x v="0"/>
    <s v="Bon de commande"/>
    <x v="11"/>
    <m/>
    <m/>
  </r>
  <r>
    <x v="8"/>
    <s v="ADIALEA"/>
    <x v="4"/>
    <x v="6"/>
    <s v="Maint. Préventive"/>
    <s v="GASOIL 1000L pour ravitaillement Cuve GE"/>
    <n v="823000"/>
    <s v="Haute"/>
    <x v="0"/>
    <s v="Bon de commande"/>
    <x v="14"/>
    <m/>
    <m/>
  </r>
  <r>
    <x v="8"/>
    <s v="ADIALEA"/>
    <x v="4"/>
    <x v="6"/>
    <s v="Maint. Préventive"/>
    <s v="GASOIL 1000L pour ravitaillement Cuve GE"/>
    <n v="828000"/>
    <s v="Haute"/>
    <x v="0"/>
    <s v="Espèces"/>
    <x v="21"/>
    <m/>
    <m/>
  </r>
  <r>
    <x v="8"/>
    <s v="PLAYCE"/>
    <x v="4"/>
    <x v="6"/>
    <s v="Maint. Préventive"/>
    <s v="GASOIL 1000L pour ravitaillement Cuve GE"/>
    <n v="828000"/>
    <s v="Haute"/>
    <x v="0"/>
    <s v="Espèces"/>
    <x v="21"/>
    <m/>
    <m/>
  </r>
  <r>
    <x v="8"/>
    <s v="ADIALEA"/>
    <x v="2"/>
    <x v="2"/>
    <s v="Travaux neufs"/>
    <s v="Remplacer la plaque de découpe"/>
    <n v="1100000"/>
    <s v="Normale"/>
    <x v="0"/>
    <s v="Bon de commande"/>
    <x v="2"/>
    <m/>
    <m/>
  </r>
  <r>
    <x v="8"/>
    <s v="ADIALEA"/>
    <x v="4"/>
    <x v="6"/>
    <s v="Maint. Préventive"/>
    <s v="GASOIL 2000L pour ravitaillement Cuve GE"/>
    <n v="1646000"/>
    <s v="Haute"/>
    <x v="0"/>
    <s v="Bon de commande"/>
    <x v="11"/>
    <m/>
    <m/>
  </r>
  <r>
    <x v="8"/>
    <s v="PLAYCE"/>
    <x v="4"/>
    <x v="6"/>
    <s v="Maint. Préventive"/>
    <s v="GASOIL 2000L pour ravitaillement Cuve GE"/>
    <n v="1646000"/>
    <s v="Haute"/>
    <x v="0"/>
    <s v="Bon de commande"/>
    <x v="14"/>
    <m/>
    <m/>
  </r>
  <r>
    <x v="7"/>
    <s v="ADIALEA"/>
    <x v="6"/>
    <x v="2"/>
    <s v="Maint. Préventive"/>
    <s v="Founiture résisntance épingle 3100w  pour rotissoir R24NE"/>
    <n v="149981"/>
    <s v="Normale"/>
    <x v="0"/>
    <s v="Bon de commande"/>
    <x v="25"/>
    <m/>
    <s v="DOREGRIL"/>
  </r>
  <r>
    <x v="7"/>
    <s v="ADIALEA"/>
    <x v="1"/>
    <x v="6"/>
    <s v="Maint. Corrective"/>
    <s v="remplacement spot defectueux"/>
    <n v="81000"/>
    <s v="Normale"/>
    <x v="0"/>
    <s v="Bon de commande"/>
    <x v="26"/>
    <m/>
    <s v="GRENN ENERGY"/>
  </r>
  <r>
    <x v="7"/>
    <s v="ADIALEA"/>
    <x v="1"/>
    <x v="1"/>
    <s v="Maint. Préventive"/>
    <s v="fourniture de filtre pour rooftop"/>
    <n v="360000"/>
    <s v="Normale"/>
    <x v="0"/>
    <s v="Bon de commande"/>
    <x v="27"/>
    <m/>
    <m/>
  </r>
  <r>
    <x v="7"/>
    <s v="ADIALEA"/>
    <x v="4"/>
    <x v="3"/>
    <s v="Maint. Corrective"/>
    <s v="réparation trappe"/>
    <n v="48900"/>
    <s v="Normale"/>
    <x v="0"/>
    <s v="Espèces"/>
    <x v="28"/>
    <m/>
    <m/>
  </r>
  <r>
    <x v="7"/>
    <s v="ADIALEA"/>
    <x v="6"/>
    <x v="2"/>
    <s v="Maint. Corrective"/>
    <s v="réparation meuble rotissoir"/>
    <n v="20000"/>
    <s v="Normale"/>
    <x v="0"/>
    <s v="Espèces"/>
    <x v="29"/>
    <m/>
    <m/>
  </r>
  <r>
    <x v="7"/>
    <s v="PLAYCE"/>
    <x v="0"/>
    <x v="0"/>
    <s v="Maint. Corrective"/>
    <s v="installation fiche male pour myster clean"/>
    <n v="72000"/>
    <s v="Normale"/>
    <x v="0"/>
    <s v="Espèces"/>
    <x v="30"/>
    <m/>
    <m/>
  </r>
  <r>
    <x v="6"/>
    <s v="ADIALEA"/>
    <x v="3"/>
    <x v="7"/>
    <s v="Maint. Préventive"/>
    <s v="vérification extinteurs et RIA "/>
    <n v="142700"/>
    <s v="Haute"/>
    <x v="0"/>
    <s v="Bon de commande"/>
    <x v="31"/>
    <m/>
    <s v="CFAO INFRA"/>
  </r>
  <r>
    <x v="6"/>
    <s v="ADIALEA"/>
    <x v="3"/>
    <x v="7"/>
    <s v="Maint. Préventive"/>
    <s v="Maintenance préventive SSI"/>
    <n v="622571"/>
    <s v="Haute"/>
    <x v="0"/>
    <s v="Bon de commande"/>
    <x v="32"/>
    <m/>
    <s v="CONNECT OFFICE"/>
  </r>
  <r>
    <x v="6"/>
    <s v="ADIALEA"/>
    <x v="0"/>
    <x v="3"/>
    <s v="Maint. Corrective"/>
    <s v="Réparation gerbeur toyota  ch6525672 "/>
    <n v="173200"/>
    <s v="Haute"/>
    <x v="0"/>
    <s v="Bon de commande"/>
    <x v="31"/>
    <m/>
    <s v="CFAO MOBILITY"/>
  </r>
  <r>
    <x v="6"/>
    <s v="ADIALEA"/>
    <x v="0"/>
    <x v="3"/>
    <s v="Maint. Corrective"/>
    <s v="réparation sur chariot clark GTS 30"/>
    <n v="588228"/>
    <s v="Normale"/>
    <x v="0"/>
    <s v="Bon de commande"/>
    <x v="33"/>
    <m/>
    <s v="ESPACE MECA"/>
  </r>
  <r>
    <x v="6"/>
    <s v="ADIALEA"/>
    <x v="0"/>
    <x v="3"/>
    <s v="Maint. Corrective"/>
    <s v="Réparation gerbeur Clark wsx14"/>
    <n v="139909"/>
    <s v="Normale"/>
    <x v="0"/>
    <s v="Bon de commande"/>
    <x v="33"/>
    <m/>
    <s v="ESPACE MECA"/>
  </r>
  <r>
    <x v="6"/>
    <s v="ADIALEA"/>
    <x v="4"/>
    <x v="6"/>
    <s v="Maint. Préventive"/>
    <s v="fourniture gasoil"/>
    <n v="1646000"/>
    <s v="Normale"/>
    <x v="0"/>
    <s v="Bon de commande"/>
    <x v="33"/>
    <m/>
    <s v="NEPTUNE OIL"/>
  </r>
  <r>
    <x v="6"/>
    <s v="ADIALEA"/>
    <x v="0"/>
    <x v="3"/>
    <s v="Maint. Corrective"/>
    <s v="Réparation gerbeur Clark wsx14"/>
    <n v="104294"/>
    <s v="Normale"/>
    <x v="0"/>
    <s v="Bon de commande"/>
    <x v="27"/>
    <m/>
    <s v="CFAO MOBILITY"/>
  </r>
  <r>
    <x v="6"/>
    <s v="ADIALEA"/>
    <x v="3"/>
    <x v="0"/>
    <s v="Maint. Corrective"/>
    <s v="Remplacement canon "/>
    <n v="7000"/>
    <m/>
    <x v="1"/>
    <s v="Espèces"/>
    <x v="34"/>
    <m/>
    <s v="TECHNICIEN CONSUMER"/>
  </r>
  <r>
    <x v="9"/>
    <s v="ADIALEA"/>
    <x v="0"/>
    <x v="3"/>
    <s v="Maint. Corrective"/>
    <s v="remplacement Batterie du groupe électrogène du daf"/>
    <n v="136500"/>
    <s v="Normale"/>
    <x v="0"/>
    <s v="Bon de commande"/>
    <x v="35"/>
    <m/>
    <s v="GES"/>
  </r>
  <r>
    <x v="4"/>
    <s v="ADIALEA"/>
    <x v="3"/>
    <x v="7"/>
    <s v="Maint. Préventive"/>
    <s v="vérification extinteurs et RIA "/>
    <n v="43200"/>
    <s v="Haute"/>
    <x v="0"/>
    <s v="Bon de commande"/>
    <x v="31"/>
    <m/>
    <s v="CFAO INFRA"/>
  </r>
  <r>
    <x v="3"/>
    <s v="ADIALEA"/>
    <x v="0"/>
    <x v="3"/>
    <s v="Maint. Corrective"/>
    <s v="Remplacement moteur de Direction du gerbeur RRE 160M"/>
    <n v="562800"/>
    <s v="Haute"/>
    <x v="0"/>
    <s v="Bon de commande"/>
    <x v="36"/>
    <m/>
    <s v="CFAO MOBILITY"/>
  </r>
  <r>
    <x v="3"/>
    <s v="ADIALEA"/>
    <x v="6"/>
    <x v="2"/>
    <s v="Maint. Préventive"/>
    <s v="Founiture résisntance épingle 3100w  pour rotissoir R24NE"/>
    <n v="243863.05"/>
    <s v="Normale"/>
    <x v="0"/>
    <s v="Bon de commande"/>
    <x v="31"/>
    <m/>
    <s v="DOREGRIL"/>
  </r>
  <r>
    <x v="3"/>
    <s v="ADIALEA"/>
    <x v="0"/>
    <x v="3"/>
    <s v="Maint. Corrective"/>
    <s v="Réginération batterie Gerbeur Clark wsx14-0249-8272ch"/>
    <n v="523530"/>
    <s v="Haute"/>
    <x v="0"/>
    <s v="Bon de commande"/>
    <x v="32"/>
    <m/>
    <s v="ESPACE MECA"/>
  </r>
  <r>
    <x v="3"/>
    <s v="PLAYCE"/>
    <x v="3"/>
    <x v="0"/>
    <s v="Maint. Corrective"/>
    <s v="réparation fuite d'eau sanitaire hommes et femmes"/>
    <n v="173500"/>
    <s v="Haute"/>
    <x v="0"/>
    <s v="Bon de commande"/>
    <x v="37"/>
    <m/>
    <s v="FORP PLOMB"/>
  </r>
  <r>
    <x v="3"/>
    <s v="PLAYCE"/>
    <x v="3"/>
    <x v="0"/>
    <s v="Maint. Corrective"/>
    <s v="Réparation faux plafond"/>
    <n v="189000"/>
    <s v="Normale"/>
    <x v="0"/>
    <s v="Bon de commande"/>
    <x v="36"/>
    <m/>
    <s v="JS COMPANY"/>
  </r>
  <r>
    <x v="3"/>
    <s v="ADIALEA"/>
    <x v="1"/>
    <x v="1"/>
    <s v="Maint. Corrective"/>
    <s v="Location échafaudage pour racomodage gaine textile rooftop"/>
    <n v="130000"/>
    <s v="Haute"/>
    <x v="0"/>
    <s v="Bon de commande"/>
    <x v="37"/>
    <m/>
    <s v="JS COMPANY"/>
  </r>
  <r>
    <x v="3"/>
    <s v="ADIALEA"/>
    <x v="7"/>
    <x v="4"/>
    <s v="Maint. Préventive"/>
    <s v="installation alarme au niveau porte chambre froide"/>
    <n v="456500"/>
    <s v="Haute"/>
    <x v="0"/>
    <s v="Bon de commande"/>
    <x v="36"/>
    <m/>
    <s v="MTG AFRIK"/>
  </r>
  <r>
    <x v="3"/>
    <s v="ADIALEA"/>
    <x v="4"/>
    <x v="6"/>
    <s v="Maint. Préventive"/>
    <s v="fourniture gasoil pour groupe éléctrogène"/>
    <n v="1234500"/>
    <s v="Normale"/>
    <x v="0"/>
    <s v="Bon de commande"/>
    <x v="25"/>
    <m/>
    <s v="NEPTUNE OIL"/>
  </r>
  <r>
    <x v="3"/>
    <s v="PLAYCE"/>
    <x v="4"/>
    <x v="6"/>
    <s v="Maint. Préventive"/>
    <s v="fourniture gasoil pour groupe éléctrogène"/>
    <n v="1234500"/>
    <s v="Normale"/>
    <x v="0"/>
    <s v="Bon de commande"/>
    <x v="25"/>
    <m/>
    <s v="NEPTUNE OIL"/>
  </r>
  <r>
    <x v="3"/>
    <s v="ADIALEA"/>
    <x v="4"/>
    <x v="6"/>
    <s v="Maint. Corrective"/>
    <s v="Remplacement relais pour ECU Groupe electrogène "/>
    <n v="98580"/>
    <s v="Normale"/>
    <x v="0"/>
    <s v="Bon de commande"/>
    <x v="25"/>
    <m/>
    <s v="SNEF"/>
  </r>
  <r>
    <x v="3"/>
    <s v="ADIALEA"/>
    <x v="4"/>
    <x v="4"/>
    <s v="Maint. Corrective"/>
    <s v="Remplacement boitier d'arret d'urgence local groupe froid"/>
    <n v="82000"/>
    <s v="Haute"/>
    <x v="0"/>
    <s v="Bon de commande"/>
    <x v="38"/>
    <m/>
    <s v="OPTIMUM B&amp;B"/>
  </r>
  <r>
    <x v="3"/>
    <s v="ADIALEA"/>
    <x v="4"/>
    <x v="6"/>
    <s v="Maint. Corrective"/>
    <s v="remplacement AVR 15 A "/>
    <n v="306749"/>
    <s v="Haute"/>
    <x v="0"/>
    <s v="Bon de commande"/>
    <x v="37"/>
    <m/>
    <s v="SAM ENTERPRISE"/>
  </r>
  <r>
    <x v="3"/>
    <s v="ADIALEA"/>
    <x v="3"/>
    <x v="1"/>
    <s v="Maint. Corrective"/>
    <s v="Réparation Split coffre fort"/>
    <n v="49500"/>
    <s v="Normale"/>
    <x v="0"/>
    <s v="Bon de commande"/>
    <x v="39"/>
    <m/>
    <s v="SIA"/>
  </r>
  <r>
    <x v="3"/>
    <s v="ADIALEA"/>
    <x v="3"/>
    <x v="1"/>
    <s v="Maint. Corrective"/>
    <s v="Réparation allège second étage "/>
    <n v="126000"/>
    <s v="Haute"/>
    <x v="0"/>
    <s v="Bon de commande"/>
    <x v="39"/>
    <m/>
    <s v="SIA"/>
  </r>
  <r>
    <x v="3"/>
    <s v="ADIALEA"/>
    <x v="6"/>
    <x v="2"/>
    <s v="Maint. Corrective"/>
    <s v="Remplacement moteur à chawarma"/>
    <n v="48000"/>
    <s v="Normale"/>
    <x v="0"/>
    <s v="Bon de commande"/>
    <x v="40"/>
    <m/>
    <s v="SUNSHINE "/>
  </r>
  <r>
    <x v="3"/>
    <s v="PLAYCE"/>
    <x v="0"/>
    <x v="0"/>
    <s v="Maint. Préventive"/>
    <s v="Vidange STEP "/>
    <n v="250000"/>
    <s v="Normale"/>
    <x v="0"/>
    <s v="Bon de commande"/>
    <x v="25"/>
    <m/>
    <s v="TH &amp;FILS"/>
  </r>
  <r>
    <x v="3"/>
    <s v="ADIALEA"/>
    <x v="1"/>
    <x v="1"/>
    <s v="Maint. Corrective"/>
    <s v="Remplacement sonde de reprise Rooftop N°1"/>
    <n v="197377"/>
    <s v="Normale"/>
    <x v="0"/>
    <s v="Bon de commande"/>
    <x v="35"/>
    <m/>
    <s v="SNEF"/>
  </r>
  <r>
    <x v="3"/>
    <s v="ADIALEA"/>
    <x v="0"/>
    <x v="3"/>
    <s v="Maint. Corrective"/>
    <s v="réparation Chariot toyota ch65731"/>
    <n v="688669"/>
    <s v="Haute"/>
    <x v="0"/>
    <s v="Bon de commande"/>
    <x v="30"/>
    <m/>
    <m/>
  </r>
  <r>
    <x v="3"/>
    <s v="ADIALEA"/>
    <x v="0"/>
    <x v="3"/>
    <s v="Maint. Corrective"/>
    <s v="Remplacement flexible sur gerbrur Clark WSX4 "/>
    <n v="156710"/>
    <s v="Haute"/>
    <x v="0"/>
    <s v="Bon de commande"/>
    <x v="29"/>
    <m/>
    <m/>
  </r>
  <r>
    <x v="3"/>
    <s v="ADIALEA"/>
    <x v="8"/>
    <x v="2"/>
    <s v="Maint. Corrective"/>
    <s v="Remplacement joint d'étanchéité chambre de pousse et filtre"/>
    <n v="148518"/>
    <s v="Haute"/>
    <x v="0"/>
    <s v="Bon de commande"/>
    <x v="34"/>
    <m/>
    <m/>
  </r>
  <r>
    <x v="3"/>
    <s v="ADIALEA"/>
    <x v="8"/>
    <x v="2"/>
    <s v="Maint. Corrective"/>
    <s v="remplacement verre cassé"/>
    <n v="35000"/>
    <s v="Normale"/>
    <x v="0"/>
    <s v="Espèces"/>
    <x v="30"/>
    <m/>
    <m/>
  </r>
  <r>
    <x v="3"/>
    <s v="PLAYCE"/>
    <x v="3"/>
    <x v="0"/>
    <s v="Maint. Préventive"/>
    <s v="Transport porte caisse centrale supeco pour Bona "/>
    <n v="15000"/>
    <s v="Normale"/>
    <x v="0"/>
    <s v="Espèces"/>
    <x v="34"/>
    <m/>
    <m/>
  </r>
  <r>
    <x v="3"/>
    <s v="PLAYCE"/>
    <x v="7"/>
    <x v="0"/>
    <s v="Travaux neufs"/>
    <s v="Fixation grille métallique protection porte coupe-feu réserve"/>
    <n v="26500"/>
    <s v="Normale"/>
    <x v="0"/>
    <s v="Espèces"/>
    <x v="34"/>
    <m/>
    <m/>
  </r>
  <r>
    <x v="3"/>
    <s v="ADIALEA"/>
    <x v="8"/>
    <x v="2"/>
    <s v="Maint. Préventive"/>
    <s v="Achat graisse haute température "/>
    <n v="11925"/>
    <s v="Normale"/>
    <x v="0"/>
    <s v="Espèces"/>
    <x v="28"/>
    <m/>
    <m/>
  </r>
  <r>
    <x v="3"/>
    <s v="ADIALEA"/>
    <x v="3"/>
    <x v="0"/>
    <s v="Maint. Corrective"/>
    <s v="Achat accessoire plomberie pour résoudre la fuite du lavabo de la réception"/>
    <n v="7500"/>
    <s v="Normale"/>
    <x v="0"/>
    <s v="Espèces"/>
    <x v="29"/>
    <m/>
    <m/>
  </r>
  <r>
    <x v="3"/>
    <s v="ADIALEA"/>
    <x v="6"/>
    <x v="2"/>
    <s v="Maint. Corrective"/>
    <s v="Fixation des couverts des meubles bains marine du traiteur"/>
    <n v="26000"/>
    <s v="Normale"/>
    <x v="0"/>
    <s v="Espèces"/>
    <x v="30"/>
    <m/>
    <m/>
  </r>
  <r>
    <x v="3"/>
    <s v="ADIALEA"/>
    <x v="7"/>
    <x v="4"/>
    <s v="Maint. Corrective"/>
    <s v="Main d’œuvre pour la casse et nettoyage de la chambre froide négative"/>
    <n v="10000"/>
    <s v="Normale"/>
    <x v="0"/>
    <s v="Espèces"/>
    <x v="30"/>
    <m/>
    <m/>
  </r>
  <r>
    <x v="3"/>
    <s v="ADIALEA"/>
    <x v="8"/>
    <x v="2"/>
    <s v="Maint. Corrective"/>
    <s v="Réparation des chariots de la boulangerie "/>
    <n v="90000"/>
    <s v="Normale"/>
    <x v="0"/>
    <s v="Espèces"/>
    <x v="34"/>
    <m/>
    <m/>
  </r>
  <r>
    <x v="3"/>
    <s v="PLAYCE"/>
    <x v="3"/>
    <x v="0"/>
    <s v="Maint. Corrective"/>
    <s v="Achat robinet presto urinoir sanitaire public et transport pour récupérer le variateur à ICRAFON"/>
    <n v="15000"/>
    <s v="Normale"/>
    <x v="0"/>
    <s v="Espèces"/>
    <x v="34"/>
    <m/>
    <m/>
  </r>
  <r>
    <x v="3"/>
    <s v="ADIALEA"/>
    <x v="6"/>
    <x v="6"/>
    <s v="Maint. Corrective"/>
    <s v="Achat d’un disjoncteur 4P – 63A pour alimenter la nouvelle friteuse du traiteur"/>
    <n v="36000"/>
    <s v="Normale"/>
    <x v="0"/>
    <s v="Espèces"/>
    <x v="28"/>
    <m/>
    <m/>
  </r>
  <r>
    <x v="3"/>
    <s v="ADIALEA"/>
    <x v="8"/>
    <x v="2"/>
    <s v="Maint. Corrective"/>
    <s v="Dépannage du module de la chambre de fermentation "/>
    <n v="60000"/>
    <s v="Normale"/>
    <x v="0"/>
    <s v="Espèces"/>
    <x v="29"/>
    <m/>
    <m/>
  </r>
  <r>
    <x v="3"/>
    <s v="ADIALEA"/>
    <x v="4"/>
    <x v="0"/>
    <s v="Maint. Préventive"/>
    <s v="Achat d’un disjoncteur moteur et un coffret pour la pompe à chlore"/>
    <n v="50000"/>
    <s v="Normale"/>
    <x v="0"/>
    <s v="Espèces"/>
    <x v="30"/>
    <m/>
    <m/>
  </r>
  <r>
    <x v="3"/>
    <s v="ADIALEA"/>
    <x v="8"/>
    <x v="6"/>
    <s v="Maint. Corrective"/>
    <s v="Suite réparation des restes de chariots de la boulangerie"/>
    <n v="65000"/>
    <s v="Normale"/>
    <x v="0"/>
    <s v="Espèces"/>
    <x v="30"/>
    <m/>
    <m/>
  </r>
  <r>
    <x v="3"/>
    <s v="ADIALEA"/>
    <x v="8"/>
    <x v="2"/>
    <s v="Maint. Corrective"/>
    <s v="Fourniture et installation du moteur de la chambre de fermentation"/>
    <n v="70000"/>
    <m/>
    <x v="0"/>
    <s v="Espèces"/>
    <x v="34"/>
    <m/>
    <m/>
  </r>
  <r>
    <x v="3"/>
    <s v="ADIALEA"/>
    <x v="2"/>
    <x v="2"/>
    <s v="Maint. Corrective"/>
    <s v="Achat fiche mal et femelle 32A – 5P pour installer le nouveau grand hachoir de DGM"/>
    <n v="30000"/>
    <m/>
    <x v="0"/>
    <s v="Espèces"/>
    <x v="34"/>
    <m/>
    <m/>
  </r>
  <r>
    <x v="3"/>
    <s v="PLAYCE"/>
    <x v="8"/>
    <x v="0"/>
    <s v="Maint. Corrective"/>
    <s v="Achat poignet porte vestiaire femme + robinet presto pâtisserie + flotteur  "/>
    <n v="34000"/>
    <m/>
    <x v="0"/>
    <s v="Espèces"/>
    <x v="28"/>
    <m/>
    <m/>
  </r>
  <r>
    <x v="3"/>
    <s v="PLAYCE"/>
    <x v="1"/>
    <x v="0"/>
    <s v="Maint. Corrective"/>
    <s v="Fabrication et fixation des tôles en métal sur les panneaux pub des abri caddie"/>
    <n v="61000"/>
    <m/>
    <x v="0"/>
    <s v="Espèces"/>
    <x v="34"/>
    <m/>
    <m/>
  </r>
  <r>
    <x v="3"/>
    <s v="PLAYCE"/>
    <x v="1"/>
    <x v="0"/>
    <s v="Maint. Corrective"/>
    <s v="Achat des luminaires luminaires du maill "/>
    <n v="36000"/>
    <m/>
    <x v="0"/>
    <s v="Espèces"/>
    <x v="34"/>
    <m/>
    <m/>
  </r>
  <r>
    <x v="3"/>
    <s v="PLAYCE"/>
    <x v="10"/>
    <x v="9"/>
    <s v="Maint. Corrective"/>
    <s v="Achat de 02 mécanismes pour bidets sanitaire publics"/>
    <n v="30000"/>
    <m/>
    <x v="0"/>
    <s v="Espèces"/>
    <x v="28"/>
    <m/>
    <m/>
  </r>
  <r>
    <x v="2"/>
    <s v="ADIALEA"/>
    <x v="6"/>
    <x v="2"/>
    <s v="Maint. Préventive"/>
    <s v="Founiture résisntance épingle 3100w  pour rotissoir R24NE"/>
    <n v="82433"/>
    <s v="Normale"/>
    <x v="0"/>
    <s v="Bon de commande"/>
    <x v="36"/>
    <m/>
    <s v="DOREGRIL"/>
  </r>
  <r>
    <x v="2"/>
    <s v="PLAYCE"/>
    <x v="4"/>
    <x v="0"/>
    <s v="Maint. Corrective"/>
    <s v="Remplacement vase d'expansion au local AEP"/>
    <n v="590000"/>
    <s v="Haute"/>
    <x v="0"/>
    <s v="Bon de commande"/>
    <x v="39"/>
    <m/>
    <s v="FORP PLOMB"/>
  </r>
  <r>
    <x v="2"/>
    <s v="ADIALEA"/>
    <x v="4"/>
    <x v="6"/>
    <s v="Maint. Corrective"/>
    <s v="remplacement Batterie du groupe électrogène"/>
    <n v="584325"/>
    <s v="Normale"/>
    <x v="0"/>
    <s v="Bon de commande"/>
    <x v="38"/>
    <m/>
    <s v="OPTIMUM B&amp;B"/>
  </r>
  <r>
    <x v="2"/>
    <s v="ADIALEA"/>
    <x v="1"/>
    <x v="1"/>
    <s v="Maint. Préventive"/>
    <s v="Location échafaudage pour racomodage  et nettoyage gaine textile rooftop"/>
    <n v="120000"/>
    <s v="Normale"/>
    <x v="0"/>
    <s v="Bon de commande"/>
    <x v="38"/>
    <m/>
    <s v="OPTIMUM B&amp;B"/>
  </r>
  <r>
    <x v="2"/>
    <s v="PLAYCE"/>
    <x v="4"/>
    <x v="6"/>
    <s v="Maint. Préventive"/>
    <s v="fourniture gasoil"/>
    <n v="823000"/>
    <s v="Normale"/>
    <x v="0"/>
    <s v="Bon de commande"/>
    <x v="33"/>
    <m/>
    <s v="NEPTUNE OIL"/>
  </r>
  <r>
    <x v="2"/>
    <s v="ADIALEA"/>
    <x v="4"/>
    <x v="6"/>
    <s v="Maint. Préventive"/>
    <s v="fourniture gasoil"/>
    <n v="1646000"/>
    <s v="Normale"/>
    <x v="0"/>
    <s v="Bon de commande"/>
    <x v="33"/>
    <m/>
    <s v="NEPTUNE OIL"/>
  </r>
  <r>
    <x v="2"/>
    <s v="ADIALEA"/>
    <x v="1"/>
    <x v="1"/>
    <s v="Maint. Préventive"/>
    <s v="nettoyage gaine textile des Rooftop"/>
    <n v="805775"/>
    <s v="Normale"/>
    <x v="0"/>
    <s v="Bon de commande"/>
    <x v="41"/>
    <m/>
    <s v="SNEF"/>
  </r>
  <r>
    <x v="2"/>
    <s v="ADIALEA"/>
    <x v="4"/>
    <x v="4"/>
    <s v="Maint. Corrective"/>
    <s v="mise  sous pression recherche de fuite colmatage e"/>
    <n v="430000"/>
    <s v="Haute"/>
    <x v="0"/>
    <s v="Bon de commande"/>
    <x v="29"/>
    <m/>
    <m/>
  </r>
  <r>
    <x v="2"/>
    <s v="ADIALEA"/>
    <x v="5"/>
    <x v="4"/>
    <s v="Maint. Corrective"/>
    <s v="fourniture Fréon "/>
    <n v="1275075"/>
    <s v="Haute"/>
    <x v="0"/>
    <s v="Bon de commande"/>
    <x v="34"/>
    <m/>
    <m/>
  </r>
  <r>
    <x v="2"/>
    <s v="ADIALEA"/>
    <x v="5"/>
    <x v="4"/>
    <s v="Maint. Corrective"/>
    <s v="reboninage ventilateur condenseur centrale négative"/>
    <n v="63395"/>
    <s v="Haute"/>
    <x v="0"/>
    <s v="Bon de commande"/>
    <x v="34"/>
    <m/>
    <m/>
  </r>
  <r>
    <x v="2"/>
    <s v="ADIALEA"/>
    <x v="4"/>
    <x v="6"/>
    <s v="Maint. Corrective"/>
    <s v="Achat cosses pour batteries"/>
    <n v="4000"/>
    <s v="Normale"/>
    <x v="0"/>
    <s v="Espèces"/>
    <x v="29"/>
    <m/>
    <m/>
  </r>
  <r>
    <x v="2"/>
    <s v="ADIALEA"/>
    <x v="4"/>
    <x v="6"/>
    <s v="Maint. Corrective"/>
    <s v="Achat spot por éclairage"/>
    <n v="7000"/>
    <s v="Normale"/>
    <x v="0"/>
    <s v="Espèces"/>
    <x v="30"/>
    <m/>
    <m/>
  </r>
  <r>
    <x v="2"/>
    <s v="ADIALEA"/>
    <x v="4"/>
    <x v="6"/>
    <s v="Maint. Préventive"/>
    <s v="Achat liquide de refroidissement 54 litres"/>
    <n v="17800"/>
    <s v="Normale"/>
    <x v="0"/>
    <s v="Espèces"/>
    <x v="30"/>
    <m/>
    <m/>
  </r>
  <r>
    <x v="2"/>
    <s v="ADIALEA"/>
    <x v="4"/>
    <x v="3"/>
    <s v="Maint. Préventive"/>
    <s v="Achat clés plat "/>
    <n v="500"/>
    <s v="Normale"/>
    <x v="0"/>
    <s v="Espèces"/>
    <x v="34"/>
    <m/>
    <m/>
  </r>
  <r>
    <x v="2"/>
    <s v="ADIALEA"/>
    <x v="4"/>
    <x v="6"/>
    <s v="Maint. Corrective"/>
    <s v="prestation remise en route groupe éléctrogène"/>
    <n v="119000"/>
    <s v="Normale"/>
    <x v="0"/>
    <s v="Espèces"/>
    <x v="34"/>
    <m/>
    <m/>
  </r>
  <r>
    <x v="2"/>
    <s v="ADIALEA"/>
    <x v="4"/>
    <x v="6"/>
    <s v="Maint. Préventive"/>
    <s v="Achat gasoil en urgence"/>
    <n v="662400"/>
    <s v="Normale"/>
    <x v="0"/>
    <s v="Espèces"/>
    <x v="28"/>
    <m/>
    <m/>
  </r>
  <r>
    <x v="2"/>
    <s v="ADIALEA"/>
    <x v="8"/>
    <x v="2"/>
    <s v="Maint. Corrective"/>
    <s v="Achat robinet mitigeur"/>
    <n v="15000"/>
    <s v="Normale"/>
    <x v="0"/>
    <s v="Espèces"/>
    <x v="29"/>
    <m/>
    <m/>
  </r>
  <r>
    <x v="2"/>
    <s v="ADIALEA"/>
    <x v="8"/>
    <x v="2"/>
    <s v="Maint. Corrective"/>
    <s v="Achat mécanisme pour évier "/>
    <n v="8500"/>
    <s v="Normale"/>
    <x v="0"/>
    <s v="Espèces"/>
    <x v="30"/>
    <m/>
    <m/>
  </r>
  <r>
    <x v="1"/>
    <s v="ADIALEA"/>
    <x v="1"/>
    <x v="7"/>
    <s v="Maint. Préventive"/>
    <s v="vérification extinteurs et RIA "/>
    <n v="144400"/>
    <s v="Normale"/>
    <x v="0"/>
    <s v="Bon de commande"/>
    <x v="36"/>
    <m/>
    <s v="CFAO INFRA"/>
  </r>
  <r>
    <x v="1"/>
    <s v="ADIALEA"/>
    <x v="6"/>
    <x v="2"/>
    <s v="Maint. Préventive"/>
    <s v="Founiture résisntance épingle 3100w  pour rotissoir R24NE"/>
    <n v="285600"/>
    <s v="Normale"/>
    <x v="0"/>
    <s v="Bon de commande"/>
    <x v="38"/>
    <m/>
    <s v="DOREGRIL"/>
  </r>
  <r>
    <x v="1"/>
    <s v="ADIALEA"/>
    <x v="3"/>
    <x v="1"/>
    <s v="Maint. Corrective"/>
    <s v="remplacement split DM et réparation Split PCS"/>
    <n v="279000"/>
    <s v="Normale"/>
    <x v="0"/>
    <s v="Bon de commande"/>
    <x v="33"/>
    <m/>
    <s v="SIA"/>
  </r>
  <r>
    <x v="1"/>
    <s v="ADIALEA"/>
    <x v="7"/>
    <x v="4"/>
    <s v="Maint. Corrective"/>
    <s v="remplacement résistance évaporateur chamnre froide négative"/>
    <n v="98000"/>
    <s v="Normale"/>
    <x v="0"/>
    <s v="Bon de commande"/>
    <x v="33"/>
    <m/>
    <s v="SUNSHINE "/>
  </r>
  <r>
    <x v="1"/>
    <s v="ADIALEA"/>
    <x v="3"/>
    <x v="0"/>
    <s v="Maint. Corrective"/>
    <s v="Location échaffaudage pour installationn borne wifi"/>
    <n v="60000"/>
    <m/>
    <x v="0"/>
    <s v="Espèces"/>
    <x v="30"/>
    <m/>
    <m/>
  </r>
  <r>
    <x v="0"/>
    <s v="ADIALEA"/>
    <x v="1"/>
    <x v="7"/>
    <s v="Maint. Préventive"/>
    <s v="vérification extinteurs et RIA "/>
    <n v="71600"/>
    <s v="Haute"/>
    <x v="0"/>
    <s v="Bon de commande"/>
    <x v="31"/>
    <m/>
    <s v="CFAO INFRA"/>
  </r>
  <r>
    <x v="0"/>
    <s v="ADIALEA"/>
    <x v="1"/>
    <x v="7"/>
    <s v="Maint. Préventive"/>
    <s v="Maintenance préventive SSI"/>
    <n v="255961"/>
    <s v="Haute"/>
    <x v="0"/>
    <s v="Bon de commande"/>
    <x v="42"/>
    <m/>
    <s v="CONNECT OFFICE"/>
  </r>
  <r>
    <x v="0"/>
    <s v="ADIALEA"/>
    <x v="0"/>
    <x v="3"/>
    <s v="Maint. Préventive"/>
    <s v="ENTRETIEN GERBEUR "/>
    <n v="144000"/>
    <s v="Normale"/>
    <x v="0"/>
    <s v="Bon de commande"/>
    <x v="33"/>
    <m/>
    <s v="ESPACE MECA"/>
  </r>
  <r>
    <x v="0"/>
    <s v="ADIALEA"/>
    <x v="1"/>
    <x v="1"/>
    <s v="Maint. Préventive"/>
    <s v="Entretien mensuel Rooftop "/>
    <n v="210000"/>
    <s v="Normale"/>
    <x v="0"/>
    <s v="Bon de commande"/>
    <x v="43"/>
    <m/>
    <s v="SIA"/>
  </r>
  <r>
    <x v="0"/>
    <s v="ADIALEA"/>
    <x v="0"/>
    <x v="3"/>
    <s v="Maint. Corrective"/>
    <s v="Remplacement flexible sur gerbeur"/>
    <n v="147000"/>
    <s v="Normale"/>
    <x v="0"/>
    <s v="Bon de commande"/>
    <x v="30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  <r>
    <x v="10"/>
    <m/>
    <x v="10"/>
    <x v="9"/>
    <m/>
    <m/>
    <m/>
    <m/>
    <x v="1"/>
    <m/>
    <x v="4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FD239-FF22-4499-B7C8-2EFAF16ED7C0}" name="Tableau croisé dynamique3" cacheId="9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8">
  <location ref="A3:B24" firstHeaderRow="1" firstDataRow="1" firstDataCol="1"/>
  <pivotFields count="14">
    <pivotField axis="axisRow" showAll="0">
      <items count="12">
        <item x="0"/>
        <item x="1"/>
        <item x="2"/>
        <item x="3"/>
        <item x="5"/>
        <item x="6"/>
        <item x="7"/>
        <item x="8"/>
        <item x="4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3">
        <item x="0"/>
        <item x="1"/>
        <item t="default"/>
      </items>
    </pivotField>
    <pivotField showAll="0"/>
    <pivotField axis="axisRow" numFmtId="14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8"/>
    <field x="0"/>
    <field x="13"/>
    <field x="10"/>
  </rowFields>
  <rowItems count="21">
    <i>
      <x/>
    </i>
    <i r="1">
      <x/>
    </i>
    <i r="2">
      <x v="6"/>
    </i>
    <i r="1">
      <x v="1"/>
    </i>
    <i r="2">
      <x v="6"/>
    </i>
    <i r="1">
      <x v="2"/>
    </i>
    <i r="2">
      <x v="6"/>
    </i>
    <i r="1">
      <x v="3"/>
    </i>
    <i r="2">
      <x v="6"/>
    </i>
    <i r="1">
      <x v="5"/>
    </i>
    <i r="2">
      <x v="6"/>
    </i>
    <i r="1">
      <x v="6"/>
    </i>
    <i r="2">
      <x v="6"/>
    </i>
    <i r="1">
      <x v="8"/>
    </i>
    <i r="2">
      <x v="6"/>
    </i>
    <i r="1">
      <x v="9"/>
    </i>
    <i r="2">
      <x v="6"/>
    </i>
    <i>
      <x v="1"/>
    </i>
    <i r="1">
      <x v="5"/>
    </i>
    <i r="2">
      <x v="6"/>
    </i>
    <i t="grand">
      <x/>
    </i>
  </rowItems>
  <colItems count="1">
    <i/>
  </colItems>
  <dataFields count="1">
    <dataField name="Somme de MONTANT" fld="6" baseField="0" baseItem="0" numFmtId="3"/>
  </dataFields>
  <formats count="7">
    <format dxfId="174">
      <pivotArea outline="0" collapsedLevelsAreSubtotals="1" fieldPosition="0"/>
    </format>
    <format dxfId="173">
      <pivotArea outline="0" collapsedLevelsAreSubtotals="1" fieldPosition="0"/>
    </format>
    <format dxfId="172">
      <pivotArea outline="0" collapsedLevelsAreSubtotals="1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dataOnly="0" labelOnly="1" grandRow="1" outline="0" fieldPosition="0"/>
    </format>
    <format dxfId="1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B66EEF-6DD8-492E-9D8B-1294C27A57BD}" name="Tableau croisé dynamique3" cacheId="9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86">
  <location ref="A3:B16" firstHeaderRow="1" firstDataRow="1" firstDataCol="1"/>
  <pivotFields count="14">
    <pivotField axis="axisRow" showAll="0">
      <items count="12">
        <item h="1" x="0"/>
        <item h="1" x="1"/>
        <item h="1" x="2"/>
        <item h="1" x="3"/>
        <item h="1" x="5"/>
        <item x="6"/>
        <item h="1" x="7"/>
        <item h="1" x="8"/>
        <item h="1" x="4"/>
        <item h="1" x="9"/>
        <item h="1" x="10"/>
        <item t="default"/>
      </items>
    </pivotField>
    <pivotField showAll="0"/>
    <pivotField axis="axisRow" showAll="0">
      <items count="12">
        <item x="2"/>
        <item x="8"/>
        <item x="3"/>
        <item x="7"/>
        <item x="0"/>
        <item x="4"/>
        <item x="9"/>
        <item x="1"/>
        <item x="6"/>
        <item x="5"/>
        <item x="1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Row" numFmtId="14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showAll="0"/>
    <pivotField axis="axisRow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5">
    <field x="8"/>
    <field x="0"/>
    <field x="2"/>
    <field x="13"/>
    <field x="10"/>
  </rowFields>
  <rowItems count="13">
    <i>
      <x/>
    </i>
    <i r="1">
      <x v="5"/>
    </i>
    <i r="2">
      <x v="2"/>
    </i>
    <i r="3">
      <x v="6"/>
    </i>
    <i r="2">
      <x v="4"/>
    </i>
    <i r="3">
      <x v="6"/>
    </i>
    <i r="2">
      <x v="5"/>
    </i>
    <i r="3">
      <x v="6"/>
    </i>
    <i>
      <x v="1"/>
    </i>
    <i r="1">
      <x v="5"/>
    </i>
    <i r="2">
      <x v="2"/>
    </i>
    <i r="3">
      <x v="6"/>
    </i>
    <i t="grand">
      <x/>
    </i>
  </rowItems>
  <colItems count="1">
    <i/>
  </colItems>
  <dataFields count="1">
    <dataField name="Somme de MONTANT" fld="6" baseField="0" baseItem="0" numFmtId="3"/>
  </dataFields>
  <formats count="7">
    <format dxfId="167">
      <pivotArea outline="0" collapsedLevelsAreSubtotals="1" fieldPosition="0"/>
    </format>
    <format dxfId="166">
      <pivotArea outline="0" collapsedLevelsAreSubtotals="1" fieldPosition="0"/>
    </format>
    <format dxfId="165">
      <pivotArea outline="0" collapsedLevelsAreSubtotals="1" fieldPosition="0"/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dataOnly="0" labelOnly="1" grandRow="1" outline="0" fieldPosition="0"/>
    </format>
    <format dxfId="161">
      <pivotArea dataOnly="0" labelOnly="1" outline="0" axis="axisValues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3A086-BAAE-438E-9E06-E06D5664554A}" name="Tableau croisé dynamique3" cacheId="98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83">
  <location ref="A3:B12" firstHeaderRow="1" firstDataRow="1" firstDataCol="1"/>
  <pivotFields count="14">
    <pivotField axis="axisRow" showAll="0">
      <items count="12">
        <item h="1" x="0"/>
        <item h="1" x="1"/>
        <item h="1" x="2"/>
        <item h="1" x="3"/>
        <item h="1" x="5"/>
        <item x="6"/>
        <item h="1" x="7"/>
        <item h="1" x="8"/>
        <item h="1" x="4"/>
        <item h="1" x="9"/>
        <item h="1" x="10"/>
        <item t="default"/>
      </items>
    </pivotField>
    <pivotField showAll="0"/>
    <pivotField showAll="0"/>
    <pivotField axis="axisRow" showAll="0">
      <items count="11">
        <item x="1"/>
        <item x="6"/>
        <item x="2"/>
        <item x="4"/>
        <item x="0"/>
        <item x="3"/>
        <item x="7"/>
        <item x="8"/>
        <item x="5"/>
        <item x="9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h="1" x="1"/>
        <item t="default"/>
      </items>
    </pivotField>
    <pivotField showAll="0"/>
    <pivotField axis="axisRow" numFmtId="14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8"/>
    <field x="0"/>
    <field x="3"/>
    <field x="13"/>
    <field x="10"/>
  </rowFields>
  <rowItems count="9">
    <i>
      <x/>
    </i>
    <i r="1">
      <x v="5"/>
    </i>
    <i r="2">
      <x v="1"/>
    </i>
    <i r="3">
      <x v="6"/>
    </i>
    <i r="2">
      <x v="5"/>
    </i>
    <i r="3">
      <x v="6"/>
    </i>
    <i r="2">
      <x v="6"/>
    </i>
    <i r="3">
      <x v="6"/>
    </i>
    <i t="grand">
      <x/>
    </i>
  </rowItems>
  <colItems count="1">
    <i/>
  </colItems>
  <dataFields count="1">
    <dataField name="Somme de MONTANT" fld="6" baseField="0" baseItem="0" numFmtId="3"/>
  </dataFields>
  <formats count="7">
    <format dxfId="160">
      <pivotArea outline="0" collapsedLevelsAreSubtotals="1" fieldPosition="0"/>
    </format>
    <format dxfId="159">
      <pivotArea outline="0" collapsedLevelsAreSubtotals="1" fieldPosition="0"/>
    </format>
    <format dxfId="158">
      <pivotArea outline="0" collapsedLevelsAreSubtotals="1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grandRow="1" outline="0" fieldPosition="0"/>
    </format>
    <format dxfId="154">
      <pivotArea dataOnly="0" labelOnly="1" outline="0" axis="axisValues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86F6-32B8-49AC-8D3E-032A28E5949A}">
  <sheetPr filterMode="1"/>
  <dimension ref="A1:M874"/>
  <sheetViews>
    <sheetView tabSelected="1" zoomScale="80" zoomScaleNormal="80" workbookViewId="0">
      <pane xSplit="6" ySplit="4" topLeftCell="G173" activePane="bottomRight" state="frozen"/>
      <selection pane="topRight" activeCell="G1" sqref="G1"/>
      <selection pane="bottomLeft" activeCell="A4" sqref="A4"/>
      <selection pane="bottomRight" activeCell="A189" sqref="A189:K258"/>
    </sheetView>
  </sheetViews>
  <sheetFormatPr baseColWidth="10" defaultRowHeight="14.4" x14ac:dyDescent="0.3"/>
  <cols>
    <col min="1" max="1" width="16.109375" style="7" bestFit="1" customWidth="1"/>
    <col min="2" max="2" width="19.5546875" style="7" bestFit="1" customWidth="1"/>
    <col min="3" max="3" width="23.5546875" style="7" bestFit="1" customWidth="1"/>
    <col min="4" max="4" width="24.44140625" style="8" bestFit="1" customWidth="1"/>
    <col min="5" max="5" width="19.44140625" style="9" customWidth="1"/>
    <col min="6" max="6" width="72.77734375" style="19" customWidth="1"/>
    <col min="7" max="7" width="22.44140625" style="48" customWidth="1"/>
    <col min="8" max="8" width="15.44140625" style="10" customWidth="1"/>
    <col min="9" max="9" width="20" style="10" customWidth="1"/>
    <col min="10" max="10" width="21.77734375" style="11" bestFit="1" customWidth="1"/>
    <col min="11" max="11" width="16.33203125" style="12" customWidth="1"/>
    <col min="12" max="12" width="22.109375" style="19" customWidth="1"/>
    <col min="13" max="13" width="28.44140625" style="1" bestFit="1" customWidth="1"/>
  </cols>
  <sheetData>
    <row r="1" spans="1:13" ht="21.6" thickBot="1" x14ac:dyDescent="0.4">
      <c r="A1" s="30" t="s">
        <v>55</v>
      </c>
      <c r="B1" s="31"/>
      <c r="C1" s="31"/>
      <c r="D1" s="31"/>
      <c r="E1" s="31"/>
      <c r="F1" s="32"/>
      <c r="G1" s="45"/>
      <c r="H1" s="33"/>
      <c r="I1" s="33"/>
      <c r="J1" s="31"/>
      <c r="K1" s="33"/>
      <c r="L1" s="31"/>
      <c r="M1" s="34"/>
    </row>
    <row r="2" spans="1:13" ht="16.8" x14ac:dyDescent="0.3">
      <c r="A2" s="20"/>
      <c r="B2" s="20"/>
      <c r="C2" s="20"/>
      <c r="D2" s="20"/>
      <c r="E2" s="20"/>
      <c r="F2" s="23"/>
      <c r="G2" s="46"/>
      <c r="H2" s="20"/>
      <c r="I2" s="20"/>
      <c r="J2" s="20"/>
      <c r="K2" s="20"/>
      <c r="L2" s="20"/>
    </row>
    <row r="4" spans="1:13" s="29" customFormat="1" ht="41.4" x14ac:dyDescent="0.3">
      <c r="A4" s="2" t="s">
        <v>0</v>
      </c>
      <c r="B4" s="2" t="s">
        <v>9</v>
      </c>
      <c r="C4" s="2" t="s">
        <v>1</v>
      </c>
      <c r="D4" s="2" t="s">
        <v>2</v>
      </c>
      <c r="E4" s="3" t="s">
        <v>56</v>
      </c>
      <c r="F4" s="2" t="s">
        <v>10</v>
      </c>
      <c r="G4" s="27" t="s">
        <v>63</v>
      </c>
      <c r="H4" s="3" t="s">
        <v>13</v>
      </c>
      <c r="I4" s="3" t="s">
        <v>12</v>
      </c>
      <c r="J4" s="3" t="s">
        <v>61</v>
      </c>
      <c r="K4" s="4" t="s">
        <v>11</v>
      </c>
      <c r="L4" s="2" t="s">
        <v>62</v>
      </c>
      <c r="M4" s="2" t="s">
        <v>64</v>
      </c>
    </row>
    <row r="5" spans="1:13" hidden="1" x14ac:dyDescent="0.3">
      <c r="A5" s="24" t="s">
        <v>16</v>
      </c>
      <c r="B5" s="24" t="s">
        <v>6</v>
      </c>
      <c r="C5" s="24" t="s">
        <v>32</v>
      </c>
      <c r="D5" s="24" t="s">
        <v>40</v>
      </c>
      <c r="E5" s="24" t="s">
        <v>58</v>
      </c>
      <c r="F5" s="25" t="s">
        <v>76</v>
      </c>
      <c r="G5" s="47">
        <v>975000</v>
      </c>
      <c r="H5" s="5" t="s">
        <v>47</v>
      </c>
      <c r="I5" s="5" t="s">
        <v>50</v>
      </c>
      <c r="J5" s="24" t="s">
        <v>53</v>
      </c>
      <c r="K5" s="28">
        <v>46162</v>
      </c>
      <c r="L5" s="24"/>
      <c r="M5" s="26"/>
    </row>
    <row r="6" spans="1:13" hidden="1" x14ac:dyDescent="0.3">
      <c r="A6" s="24" t="s">
        <v>16</v>
      </c>
      <c r="B6" s="24" t="s">
        <v>6</v>
      </c>
      <c r="C6" s="24" t="s">
        <v>30</v>
      </c>
      <c r="D6" s="24" t="s">
        <v>41</v>
      </c>
      <c r="E6" s="24" t="s">
        <v>58</v>
      </c>
      <c r="F6" s="25" t="s">
        <v>77</v>
      </c>
      <c r="G6" s="47">
        <v>250000</v>
      </c>
      <c r="H6" s="5" t="s">
        <v>48</v>
      </c>
      <c r="I6" s="5" t="s">
        <v>50</v>
      </c>
      <c r="J6" s="24" t="s">
        <v>53</v>
      </c>
      <c r="K6" s="28">
        <v>46167</v>
      </c>
      <c r="L6" s="24"/>
      <c r="M6" s="26"/>
    </row>
    <row r="7" spans="1:13" hidden="1" x14ac:dyDescent="0.3">
      <c r="A7" s="24" t="s">
        <v>16</v>
      </c>
      <c r="B7" s="24" t="s">
        <v>6</v>
      </c>
      <c r="C7" s="24" t="s">
        <v>27</v>
      </c>
      <c r="D7" s="24" t="s">
        <v>45</v>
      </c>
      <c r="E7" s="24" t="s">
        <v>57</v>
      </c>
      <c r="F7" s="25" t="s">
        <v>78</v>
      </c>
      <c r="G7" s="47">
        <v>68970</v>
      </c>
      <c r="H7" s="5" t="s">
        <v>48</v>
      </c>
      <c r="I7" s="5" t="s">
        <v>50</v>
      </c>
      <c r="J7" s="24" t="s">
        <v>53</v>
      </c>
      <c r="K7" s="28">
        <v>46149</v>
      </c>
      <c r="L7" s="24"/>
      <c r="M7" s="26"/>
    </row>
    <row r="8" spans="1:13" hidden="1" x14ac:dyDescent="0.3">
      <c r="A8" s="24" t="s">
        <v>16</v>
      </c>
      <c r="B8" s="24" t="s">
        <v>6</v>
      </c>
      <c r="C8" s="24" t="s">
        <v>30</v>
      </c>
      <c r="D8" s="24" t="s">
        <v>44</v>
      </c>
      <c r="E8" s="24" t="s">
        <v>58</v>
      </c>
      <c r="F8" s="25" t="s">
        <v>79</v>
      </c>
      <c r="G8" s="47">
        <v>50000</v>
      </c>
      <c r="H8" s="5" t="s">
        <v>48</v>
      </c>
      <c r="I8" s="5" t="s">
        <v>50</v>
      </c>
      <c r="J8" s="24" t="s">
        <v>52</v>
      </c>
      <c r="K8" s="28">
        <v>46146</v>
      </c>
      <c r="L8" s="24"/>
      <c r="M8" s="26"/>
    </row>
    <row r="9" spans="1:13" hidden="1" x14ac:dyDescent="0.3">
      <c r="A9" s="24" t="s">
        <v>16</v>
      </c>
      <c r="B9" s="24" t="s">
        <v>6</v>
      </c>
      <c r="C9" s="24" t="s">
        <v>30</v>
      </c>
      <c r="D9" s="24" t="s">
        <v>45</v>
      </c>
      <c r="E9" s="24" t="s">
        <v>57</v>
      </c>
      <c r="F9" s="25" t="s">
        <v>80</v>
      </c>
      <c r="G9" s="47">
        <v>75000</v>
      </c>
      <c r="H9" s="5" t="s">
        <v>48</v>
      </c>
      <c r="I9" s="5" t="s">
        <v>50</v>
      </c>
      <c r="J9" s="24" t="s">
        <v>52</v>
      </c>
      <c r="K9" s="28">
        <v>46151</v>
      </c>
      <c r="L9" s="24"/>
      <c r="M9" s="26"/>
    </row>
    <row r="10" spans="1:13" hidden="1" x14ac:dyDescent="0.3">
      <c r="A10" s="24" t="s">
        <v>16</v>
      </c>
      <c r="B10" s="24" t="s">
        <v>6</v>
      </c>
      <c r="C10" s="24" t="s">
        <v>33</v>
      </c>
      <c r="D10" s="24" t="s">
        <v>40</v>
      </c>
      <c r="E10" s="24" t="s">
        <v>58</v>
      </c>
      <c r="F10" s="25" t="s">
        <v>81</v>
      </c>
      <c r="G10" s="47">
        <v>6000</v>
      </c>
      <c r="H10" s="5" t="s">
        <v>48</v>
      </c>
      <c r="I10" s="5" t="s">
        <v>50</v>
      </c>
      <c r="J10" s="24" t="s">
        <v>52</v>
      </c>
      <c r="K10" s="28">
        <v>46167</v>
      </c>
      <c r="L10" s="24"/>
      <c r="M10" s="26"/>
    </row>
    <row r="11" spans="1:13" hidden="1" x14ac:dyDescent="0.3">
      <c r="A11" s="24" t="s">
        <v>16</v>
      </c>
      <c r="B11" s="24" t="s">
        <v>6</v>
      </c>
      <c r="C11" s="24" t="s">
        <v>32</v>
      </c>
      <c r="D11" s="24" t="s">
        <v>44</v>
      </c>
      <c r="E11" s="24" t="s">
        <v>57</v>
      </c>
      <c r="F11" s="25" t="s">
        <v>82</v>
      </c>
      <c r="G11" s="47">
        <v>36000</v>
      </c>
      <c r="H11" s="5" t="s">
        <v>48</v>
      </c>
      <c r="I11" s="5" t="s">
        <v>50</v>
      </c>
      <c r="J11" s="24" t="s">
        <v>53</v>
      </c>
      <c r="K11" s="28">
        <v>46171</v>
      </c>
      <c r="L11" s="24"/>
      <c r="M11" s="26"/>
    </row>
    <row r="12" spans="1:13" hidden="1" x14ac:dyDescent="0.3">
      <c r="A12" s="24" t="s">
        <v>15</v>
      </c>
      <c r="B12" s="24" t="s">
        <v>6</v>
      </c>
      <c r="C12" s="24" t="s">
        <v>31</v>
      </c>
      <c r="D12" s="24" t="s">
        <v>41</v>
      </c>
      <c r="E12" s="24" t="s">
        <v>57</v>
      </c>
      <c r="F12" s="25" t="s">
        <v>83</v>
      </c>
      <c r="G12" s="47">
        <v>72250</v>
      </c>
      <c r="H12" s="5" t="s">
        <v>48</v>
      </c>
      <c r="I12" s="5" t="s">
        <v>50</v>
      </c>
      <c r="J12" s="24" t="s">
        <v>53</v>
      </c>
      <c r="K12" s="28">
        <v>46164</v>
      </c>
      <c r="L12" s="24"/>
      <c r="M12" s="26"/>
    </row>
    <row r="13" spans="1:13" hidden="1" x14ac:dyDescent="0.3">
      <c r="A13" s="24" t="s">
        <v>15</v>
      </c>
      <c r="B13" s="24" t="s">
        <v>6</v>
      </c>
      <c r="C13" s="24" t="s">
        <v>27</v>
      </c>
      <c r="D13" s="24" t="s">
        <v>45</v>
      </c>
      <c r="E13" s="24" t="s">
        <v>57</v>
      </c>
      <c r="F13" s="25" t="s">
        <v>78</v>
      </c>
      <c r="G13" s="47">
        <v>628970</v>
      </c>
      <c r="H13" s="5" t="s">
        <v>48</v>
      </c>
      <c r="I13" s="5" t="s">
        <v>50</v>
      </c>
      <c r="J13" s="24" t="s">
        <v>53</v>
      </c>
      <c r="K13" s="28">
        <v>46149</v>
      </c>
      <c r="L13" s="24"/>
      <c r="M13" s="26"/>
    </row>
    <row r="14" spans="1:13" hidden="1" x14ac:dyDescent="0.3">
      <c r="A14" s="24" t="s">
        <v>15</v>
      </c>
      <c r="B14" s="24" t="s">
        <v>6</v>
      </c>
      <c r="C14" s="24" t="s">
        <v>73</v>
      </c>
      <c r="D14" s="24" t="s">
        <v>43</v>
      </c>
      <c r="E14" s="24" t="s">
        <v>58</v>
      </c>
      <c r="F14" s="25" t="s">
        <v>84</v>
      </c>
      <c r="G14" s="47">
        <v>323200</v>
      </c>
      <c r="H14" s="5" t="s">
        <v>48</v>
      </c>
      <c r="I14" s="5" t="s">
        <v>50</v>
      </c>
      <c r="J14" s="24" t="s">
        <v>53</v>
      </c>
      <c r="K14" s="28">
        <v>46150</v>
      </c>
      <c r="L14" s="24"/>
      <c r="M14" s="26"/>
    </row>
    <row r="15" spans="1:13" hidden="1" x14ac:dyDescent="0.3">
      <c r="A15" s="24" t="s">
        <v>15</v>
      </c>
      <c r="B15" s="24" t="s">
        <v>6</v>
      </c>
      <c r="C15" s="24" t="s">
        <v>33</v>
      </c>
      <c r="D15" s="24" t="s">
        <v>39</v>
      </c>
      <c r="E15" s="24" t="s">
        <v>58</v>
      </c>
      <c r="F15" s="25" t="s">
        <v>85</v>
      </c>
      <c r="G15" s="47">
        <v>15000</v>
      </c>
      <c r="H15" s="5" t="s">
        <v>48</v>
      </c>
      <c r="I15" s="5" t="s">
        <v>50</v>
      </c>
      <c r="J15" s="24" t="s">
        <v>52</v>
      </c>
      <c r="K15" s="28">
        <v>46146</v>
      </c>
      <c r="L15" s="24"/>
      <c r="M15" s="26"/>
    </row>
    <row r="16" spans="1:13" hidden="1" x14ac:dyDescent="0.3">
      <c r="A16" s="24" t="s">
        <v>15</v>
      </c>
      <c r="B16" s="24" t="s">
        <v>6</v>
      </c>
      <c r="C16" s="24" t="s">
        <v>27</v>
      </c>
      <c r="D16" s="24" t="s">
        <v>45</v>
      </c>
      <c r="E16" s="24" t="s">
        <v>57</v>
      </c>
      <c r="F16" s="25" t="s">
        <v>86</v>
      </c>
      <c r="G16" s="47">
        <v>58500</v>
      </c>
      <c r="H16" s="5" t="s">
        <v>48</v>
      </c>
      <c r="I16" s="5" t="s">
        <v>50</v>
      </c>
      <c r="J16" s="24" t="s">
        <v>52</v>
      </c>
      <c r="K16" s="28">
        <v>46146</v>
      </c>
      <c r="L16" s="24"/>
      <c r="M16" s="26"/>
    </row>
    <row r="17" spans="1:13" hidden="1" x14ac:dyDescent="0.3">
      <c r="A17" s="24" t="s">
        <v>15</v>
      </c>
      <c r="B17" s="24" t="s">
        <v>6</v>
      </c>
      <c r="C17" s="24" t="s">
        <v>32</v>
      </c>
      <c r="D17" s="24" t="s">
        <v>40</v>
      </c>
      <c r="E17" s="24" t="s">
        <v>58</v>
      </c>
      <c r="F17" s="25" t="s">
        <v>87</v>
      </c>
      <c r="G17" s="47">
        <v>240000</v>
      </c>
      <c r="H17" s="5" t="s">
        <v>48</v>
      </c>
      <c r="I17" s="5" t="s">
        <v>50</v>
      </c>
      <c r="J17" s="24" t="s">
        <v>52</v>
      </c>
      <c r="K17" s="28">
        <v>46154</v>
      </c>
      <c r="L17" s="24"/>
      <c r="M17" s="26"/>
    </row>
    <row r="18" spans="1:13" hidden="1" x14ac:dyDescent="0.3">
      <c r="A18" s="24" t="s">
        <v>15</v>
      </c>
      <c r="B18" s="24" t="s">
        <v>6</v>
      </c>
      <c r="C18" s="24" t="s">
        <v>25</v>
      </c>
      <c r="D18" s="24" t="s">
        <v>45</v>
      </c>
      <c r="E18" s="24" t="s">
        <v>58</v>
      </c>
      <c r="F18" s="25" t="s">
        <v>88</v>
      </c>
      <c r="G18" s="47">
        <v>20000</v>
      </c>
      <c r="H18" s="5" t="s">
        <v>48</v>
      </c>
      <c r="I18" s="5" t="s">
        <v>50</v>
      </c>
      <c r="J18" s="24" t="s">
        <v>52</v>
      </c>
      <c r="K18" s="28">
        <v>46167</v>
      </c>
      <c r="L18" s="24"/>
      <c r="M18" s="26"/>
    </row>
    <row r="19" spans="1:13" hidden="1" x14ac:dyDescent="0.3">
      <c r="A19" s="24" t="s">
        <v>15</v>
      </c>
      <c r="B19" s="24" t="s">
        <v>6</v>
      </c>
      <c r="C19" s="24" t="s">
        <v>30</v>
      </c>
      <c r="D19" s="24" t="s">
        <v>41</v>
      </c>
      <c r="E19" s="24" t="s">
        <v>58</v>
      </c>
      <c r="F19" s="25" t="s">
        <v>89</v>
      </c>
      <c r="G19" s="47">
        <v>176000</v>
      </c>
      <c r="H19" s="5" t="s">
        <v>48</v>
      </c>
      <c r="I19" s="5" t="s">
        <v>50</v>
      </c>
      <c r="J19" s="24" t="s">
        <v>52</v>
      </c>
      <c r="K19" s="28">
        <v>46150</v>
      </c>
      <c r="L19" s="24"/>
      <c r="M19" s="26"/>
    </row>
    <row r="20" spans="1:13" hidden="1" x14ac:dyDescent="0.3">
      <c r="A20" s="24" t="s">
        <v>15</v>
      </c>
      <c r="B20" s="24" t="s">
        <v>6</v>
      </c>
      <c r="C20" s="24" t="s">
        <v>32</v>
      </c>
      <c r="D20" s="24" t="s">
        <v>44</v>
      </c>
      <c r="E20" s="24" t="s">
        <v>57</v>
      </c>
      <c r="F20" s="25" t="s">
        <v>82</v>
      </c>
      <c r="G20" s="47">
        <v>9000</v>
      </c>
      <c r="H20" s="5" t="s">
        <v>48</v>
      </c>
      <c r="I20" s="5" t="s">
        <v>50</v>
      </c>
      <c r="J20" s="24" t="s">
        <v>53</v>
      </c>
      <c r="K20" s="28">
        <v>46171</v>
      </c>
      <c r="L20" s="24"/>
      <c r="M20" s="26"/>
    </row>
    <row r="21" spans="1:13" hidden="1" x14ac:dyDescent="0.3">
      <c r="A21" s="24" t="s">
        <v>21</v>
      </c>
      <c r="B21" s="24" t="s">
        <v>6</v>
      </c>
      <c r="C21" s="24" t="s">
        <v>31</v>
      </c>
      <c r="D21" s="24" t="s">
        <v>37</v>
      </c>
      <c r="E21" s="24" t="s">
        <v>58</v>
      </c>
      <c r="F21" s="25" t="s">
        <v>90</v>
      </c>
      <c r="G21" s="47">
        <v>185000</v>
      </c>
      <c r="H21" s="5" t="s">
        <v>47</v>
      </c>
      <c r="I21" s="5" t="s">
        <v>50</v>
      </c>
      <c r="J21" s="24" t="s">
        <v>53</v>
      </c>
      <c r="K21" s="28">
        <v>46155</v>
      </c>
      <c r="L21" s="24"/>
      <c r="M21" s="26"/>
    </row>
    <row r="22" spans="1:13" hidden="1" x14ac:dyDescent="0.3">
      <c r="A22" s="24" t="s">
        <v>21</v>
      </c>
      <c r="B22" s="24" t="s">
        <v>7</v>
      </c>
      <c r="C22" s="24" t="s">
        <v>33</v>
      </c>
      <c r="D22" s="24" t="s">
        <v>46</v>
      </c>
      <c r="E22" s="24" t="s">
        <v>57</v>
      </c>
      <c r="F22" s="25" t="s">
        <v>91</v>
      </c>
      <c r="G22" s="47">
        <v>198900</v>
      </c>
      <c r="H22" s="5" t="s">
        <v>48</v>
      </c>
      <c r="I22" s="5" t="s">
        <v>50</v>
      </c>
      <c r="J22" s="24" t="s">
        <v>53</v>
      </c>
      <c r="K22" s="28">
        <v>46154</v>
      </c>
      <c r="L22" s="24"/>
      <c r="M22" s="26"/>
    </row>
    <row r="23" spans="1:13" hidden="1" x14ac:dyDescent="0.3">
      <c r="A23" s="24" t="s">
        <v>21</v>
      </c>
      <c r="B23" s="24" t="s">
        <v>6</v>
      </c>
      <c r="C23" s="24" t="s">
        <v>33</v>
      </c>
      <c r="D23" s="24" t="s">
        <v>41</v>
      </c>
      <c r="E23" s="24" t="s">
        <v>58</v>
      </c>
      <c r="F23" s="25" t="s">
        <v>92</v>
      </c>
      <c r="G23" s="47">
        <v>91300</v>
      </c>
      <c r="H23" s="5" t="s">
        <v>48</v>
      </c>
      <c r="I23" s="5" t="s">
        <v>50</v>
      </c>
      <c r="J23" s="24" t="s">
        <v>53</v>
      </c>
      <c r="K23" s="28">
        <v>46157</v>
      </c>
      <c r="L23" s="24"/>
      <c r="M23" s="26"/>
    </row>
    <row r="24" spans="1:13" hidden="1" x14ac:dyDescent="0.3">
      <c r="A24" s="24" t="s">
        <v>21</v>
      </c>
      <c r="B24" s="24" t="s">
        <v>6</v>
      </c>
      <c r="C24" s="24" t="s">
        <v>27</v>
      </c>
      <c r="D24" s="24" t="s">
        <v>45</v>
      </c>
      <c r="E24" s="24" t="s">
        <v>57</v>
      </c>
      <c r="F24" s="25" t="s">
        <v>78</v>
      </c>
      <c r="G24" s="47">
        <v>628970</v>
      </c>
      <c r="H24" s="5" t="s">
        <v>48</v>
      </c>
      <c r="I24" s="5" t="s">
        <v>50</v>
      </c>
      <c r="J24" s="24" t="s">
        <v>53</v>
      </c>
      <c r="K24" s="28">
        <v>46149</v>
      </c>
      <c r="L24" s="24"/>
      <c r="M24" s="26"/>
    </row>
    <row r="25" spans="1:13" hidden="1" x14ac:dyDescent="0.3">
      <c r="A25" s="24" t="s">
        <v>21</v>
      </c>
      <c r="B25" s="24" t="s">
        <v>6</v>
      </c>
      <c r="C25" s="24" t="s">
        <v>31</v>
      </c>
      <c r="D25" s="24" t="s">
        <v>37</v>
      </c>
      <c r="E25" s="24" t="s">
        <v>58</v>
      </c>
      <c r="F25" s="25" t="s">
        <v>93</v>
      </c>
      <c r="G25" s="47">
        <v>99650</v>
      </c>
      <c r="H25" s="5" t="s">
        <v>48</v>
      </c>
      <c r="I25" s="5" t="s">
        <v>50</v>
      </c>
      <c r="J25" s="24" t="s">
        <v>52</v>
      </c>
      <c r="K25" s="28">
        <v>46150</v>
      </c>
      <c r="L25" s="24"/>
      <c r="M25" s="26"/>
    </row>
    <row r="26" spans="1:13" hidden="1" x14ac:dyDescent="0.3">
      <c r="A26" s="24" t="s">
        <v>21</v>
      </c>
      <c r="B26" s="24" t="s">
        <v>6</v>
      </c>
      <c r="C26" s="24" t="s">
        <v>31</v>
      </c>
      <c r="D26" s="24" t="s">
        <v>37</v>
      </c>
      <c r="E26" s="24" t="s">
        <v>57</v>
      </c>
      <c r="F26" s="25" t="s">
        <v>94</v>
      </c>
      <c r="G26" s="47">
        <v>2469000</v>
      </c>
      <c r="H26" s="5" t="s">
        <v>48</v>
      </c>
      <c r="I26" s="5" t="s">
        <v>50</v>
      </c>
      <c r="J26" s="24" t="s">
        <v>53</v>
      </c>
      <c r="K26" s="28">
        <v>46148</v>
      </c>
      <c r="L26" s="24"/>
      <c r="M26" s="26"/>
    </row>
    <row r="27" spans="1:13" hidden="1" x14ac:dyDescent="0.3">
      <c r="A27" s="24" t="s">
        <v>21</v>
      </c>
      <c r="B27" s="24" t="s">
        <v>6</v>
      </c>
      <c r="C27" s="24" t="s">
        <v>31</v>
      </c>
      <c r="D27" s="24" t="s">
        <v>37</v>
      </c>
      <c r="E27" s="24" t="s">
        <v>57</v>
      </c>
      <c r="F27" s="25" t="s">
        <v>94</v>
      </c>
      <c r="G27" s="47">
        <v>1646000</v>
      </c>
      <c r="H27" s="5" t="s">
        <v>48</v>
      </c>
      <c r="I27" s="5" t="s">
        <v>50</v>
      </c>
      <c r="J27" s="24" t="s">
        <v>53</v>
      </c>
      <c r="K27" s="28">
        <v>46167</v>
      </c>
      <c r="L27" s="24"/>
      <c r="M27" s="26"/>
    </row>
    <row r="28" spans="1:13" hidden="1" x14ac:dyDescent="0.3">
      <c r="A28" s="24" t="s">
        <v>21</v>
      </c>
      <c r="B28" s="24" t="s">
        <v>7</v>
      </c>
      <c r="C28" s="24" t="s">
        <v>31</v>
      </c>
      <c r="D28" s="24" t="s">
        <v>37</v>
      </c>
      <c r="E28" s="24" t="s">
        <v>57</v>
      </c>
      <c r="F28" s="25" t="s">
        <v>94</v>
      </c>
      <c r="G28" s="47">
        <v>823000</v>
      </c>
      <c r="H28" s="5" t="s">
        <v>47</v>
      </c>
      <c r="I28" s="5" t="s">
        <v>50</v>
      </c>
      <c r="J28" s="24" t="s">
        <v>53</v>
      </c>
      <c r="K28" s="28">
        <v>46167</v>
      </c>
      <c r="L28" s="24"/>
      <c r="M28" s="26"/>
    </row>
    <row r="29" spans="1:13" hidden="1" x14ac:dyDescent="0.3">
      <c r="A29" s="24" t="s">
        <v>21</v>
      </c>
      <c r="B29" s="24" t="s">
        <v>6</v>
      </c>
      <c r="C29" s="24" t="s">
        <v>31</v>
      </c>
      <c r="D29" s="24" t="s">
        <v>37</v>
      </c>
      <c r="E29" s="24" t="s">
        <v>57</v>
      </c>
      <c r="F29" s="25" t="s">
        <v>95</v>
      </c>
      <c r="G29" s="47">
        <v>36075</v>
      </c>
      <c r="H29" s="5" t="s">
        <v>48</v>
      </c>
      <c r="I29" s="5" t="s">
        <v>50</v>
      </c>
      <c r="J29" s="24" t="s">
        <v>52</v>
      </c>
      <c r="K29" s="28">
        <v>46167</v>
      </c>
      <c r="L29" s="24"/>
      <c r="M29" s="26"/>
    </row>
    <row r="30" spans="1:13" hidden="1" x14ac:dyDescent="0.3">
      <c r="A30" s="24" t="s">
        <v>21</v>
      </c>
      <c r="B30" s="24" t="s">
        <v>6</v>
      </c>
      <c r="C30" s="24" t="s">
        <v>33</v>
      </c>
      <c r="D30" s="24" t="s">
        <v>39</v>
      </c>
      <c r="E30" s="24" t="s">
        <v>57</v>
      </c>
      <c r="F30" s="25" t="s">
        <v>96</v>
      </c>
      <c r="G30" s="47">
        <v>4500</v>
      </c>
      <c r="H30" s="5" t="s">
        <v>48</v>
      </c>
      <c r="I30" s="5" t="s">
        <v>50</v>
      </c>
      <c r="J30" s="24" t="s">
        <v>52</v>
      </c>
      <c r="K30" s="28">
        <v>46167</v>
      </c>
      <c r="L30" s="24"/>
      <c r="M30" s="26"/>
    </row>
    <row r="31" spans="1:13" hidden="1" x14ac:dyDescent="0.3">
      <c r="A31" s="24" t="s">
        <v>21</v>
      </c>
      <c r="B31" s="24" t="s">
        <v>6</v>
      </c>
      <c r="C31" s="24" t="s">
        <v>33</v>
      </c>
      <c r="D31" s="24" t="s">
        <v>40</v>
      </c>
      <c r="E31" s="24" t="s">
        <v>57</v>
      </c>
      <c r="F31" s="25" t="s">
        <v>97</v>
      </c>
      <c r="G31" s="47">
        <v>13000</v>
      </c>
      <c r="H31" s="5" t="s">
        <v>48</v>
      </c>
      <c r="I31" s="5" t="s">
        <v>50</v>
      </c>
      <c r="J31" s="24" t="s">
        <v>52</v>
      </c>
      <c r="K31" s="28">
        <v>46167</v>
      </c>
      <c r="L31" s="24"/>
      <c r="M31" s="26"/>
    </row>
    <row r="32" spans="1:13" hidden="1" x14ac:dyDescent="0.3">
      <c r="A32" s="24" t="s">
        <v>21</v>
      </c>
      <c r="B32" s="24" t="s">
        <v>6</v>
      </c>
      <c r="C32" s="24" t="s">
        <v>29</v>
      </c>
      <c r="D32" s="24" t="s">
        <v>43</v>
      </c>
      <c r="E32" s="24" t="s">
        <v>57</v>
      </c>
      <c r="F32" s="25" t="s">
        <v>98</v>
      </c>
      <c r="G32" s="47">
        <v>17500</v>
      </c>
      <c r="H32" s="5" t="s">
        <v>48</v>
      </c>
      <c r="I32" s="5" t="s">
        <v>50</v>
      </c>
      <c r="J32" s="24" t="s">
        <v>52</v>
      </c>
      <c r="K32" s="28">
        <v>46167</v>
      </c>
      <c r="L32" s="24"/>
      <c r="M32" s="26"/>
    </row>
    <row r="33" spans="1:13" hidden="1" x14ac:dyDescent="0.3">
      <c r="A33" s="24" t="s">
        <v>21</v>
      </c>
      <c r="B33" s="24" t="s">
        <v>6</v>
      </c>
      <c r="C33" s="24" t="s">
        <v>29</v>
      </c>
      <c r="D33" s="24" t="s">
        <v>39</v>
      </c>
      <c r="E33" s="24" t="s">
        <v>57</v>
      </c>
      <c r="F33" s="25" t="s">
        <v>99</v>
      </c>
      <c r="G33" s="47">
        <v>9500</v>
      </c>
      <c r="H33" s="5" t="s">
        <v>48</v>
      </c>
      <c r="I33" s="5" t="s">
        <v>50</v>
      </c>
      <c r="J33" s="24" t="s">
        <v>52</v>
      </c>
      <c r="K33" s="28">
        <v>46167</v>
      </c>
      <c r="L33" s="24"/>
      <c r="M33" s="26"/>
    </row>
    <row r="34" spans="1:13" hidden="1" x14ac:dyDescent="0.3">
      <c r="A34" s="24" t="s">
        <v>20</v>
      </c>
      <c r="B34" s="24" t="s">
        <v>6</v>
      </c>
      <c r="C34" s="24" t="s">
        <v>27</v>
      </c>
      <c r="D34" s="24" t="s">
        <v>45</v>
      </c>
      <c r="E34" s="24" t="s">
        <v>57</v>
      </c>
      <c r="F34" s="25" t="s">
        <v>100</v>
      </c>
      <c r="G34" s="47">
        <v>97137</v>
      </c>
      <c r="H34" s="5" t="s">
        <v>48</v>
      </c>
      <c r="I34" s="5" t="s">
        <v>50</v>
      </c>
      <c r="J34" s="24" t="s">
        <v>53</v>
      </c>
      <c r="K34" s="28">
        <v>46149</v>
      </c>
      <c r="L34" s="24"/>
      <c r="M34" s="26"/>
    </row>
    <row r="35" spans="1:13" hidden="1" x14ac:dyDescent="0.3">
      <c r="A35" s="24" t="s">
        <v>20</v>
      </c>
      <c r="B35" s="24" t="s">
        <v>6</v>
      </c>
      <c r="C35" s="24" t="s">
        <v>27</v>
      </c>
      <c r="D35" s="24" t="s">
        <v>45</v>
      </c>
      <c r="E35" s="24" t="s">
        <v>57</v>
      </c>
      <c r="F35" s="25" t="s">
        <v>101</v>
      </c>
      <c r="G35" s="47">
        <v>500000</v>
      </c>
      <c r="H35" s="5" t="s">
        <v>47</v>
      </c>
      <c r="I35" s="5" t="s">
        <v>50</v>
      </c>
      <c r="J35" s="24" t="s">
        <v>53</v>
      </c>
      <c r="K35" s="28">
        <v>46162</v>
      </c>
      <c r="L35" s="24"/>
      <c r="M35" s="26"/>
    </row>
    <row r="36" spans="1:13" hidden="1" x14ac:dyDescent="0.3">
      <c r="A36" s="24" t="s">
        <v>20</v>
      </c>
      <c r="B36" s="24" t="s">
        <v>7</v>
      </c>
      <c r="C36" s="24" t="s">
        <v>32</v>
      </c>
      <c r="D36" s="24" t="s">
        <v>37</v>
      </c>
      <c r="E36" s="24" t="s">
        <v>58</v>
      </c>
      <c r="F36" s="25" t="s">
        <v>102</v>
      </c>
      <c r="G36" s="47">
        <v>612000</v>
      </c>
      <c r="H36" s="5" t="s">
        <v>48</v>
      </c>
      <c r="I36" s="5" t="s">
        <v>50</v>
      </c>
      <c r="J36" s="24" t="s">
        <v>53</v>
      </c>
      <c r="K36" s="28">
        <v>46154</v>
      </c>
      <c r="L36" s="24"/>
      <c r="M36" s="26"/>
    </row>
    <row r="37" spans="1:13" hidden="1" x14ac:dyDescent="0.3">
      <c r="A37" s="24" t="s">
        <v>20</v>
      </c>
      <c r="B37" s="24" t="s">
        <v>7</v>
      </c>
      <c r="C37" s="24" t="s">
        <v>31</v>
      </c>
      <c r="D37" s="24" t="s">
        <v>37</v>
      </c>
      <c r="E37" s="24" t="s">
        <v>57</v>
      </c>
      <c r="F37" s="25" t="s">
        <v>103</v>
      </c>
      <c r="G37" s="47">
        <v>380000</v>
      </c>
      <c r="H37" s="5" t="s">
        <v>48</v>
      </c>
      <c r="I37" s="5" t="s">
        <v>50</v>
      </c>
      <c r="J37" s="24" t="s">
        <v>53</v>
      </c>
      <c r="K37" s="28">
        <v>46168</v>
      </c>
      <c r="L37" s="24"/>
      <c r="M37" s="26"/>
    </row>
    <row r="38" spans="1:13" hidden="1" x14ac:dyDescent="0.3">
      <c r="A38" s="24" t="s">
        <v>20</v>
      </c>
      <c r="B38" s="24" t="s">
        <v>7</v>
      </c>
      <c r="C38" s="24" t="s">
        <v>31</v>
      </c>
      <c r="D38" s="24" t="s">
        <v>42</v>
      </c>
      <c r="E38" s="24" t="s">
        <v>58</v>
      </c>
      <c r="F38" s="25" t="s">
        <v>104</v>
      </c>
      <c r="G38" s="47">
        <v>207000</v>
      </c>
      <c r="H38" s="5" t="s">
        <v>48</v>
      </c>
      <c r="I38" s="5" t="s">
        <v>50</v>
      </c>
      <c r="J38" s="24" t="s">
        <v>53</v>
      </c>
      <c r="K38" s="28">
        <v>46159</v>
      </c>
      <c r="L38" s="24"/>
      <c r="M38" s="26"/>
    </row>
    <row r="39" spans="1:13" hidden="1" x14ac:dyDescent="0.3">
      <c r="A39" s="24" t="s">
        <v>20</v>
      </c>
      <c r="B39" s="24" t="s">
        <v>6</v>
      </c>
      <c r="C39" s="24" t="s">
        <v>29</v>
      </c>
      <c r="D39" s="24" t="s">
        <v>43</v>
      </c>
      <c r="E39" s="24" t="s">
        <v>58</v>
      </c>
      <c r="F39" s="25" t="s">
        <v>105</v>
      </c>
      <c r="G39" s="47">
        <v>330000</v>
      </c>
      <c r="H39" s="5" t="s">
        <v>48</v>
      </c>
      <c r="I39" s="5" t="s">
        <v>50</v>
      </c>
      <c r="J39" s="24" t="s">
        <v>53</v>
      </c>
      <c r="K39" s="28">
        <v>46160</v>
      </c>
      <c r="L39" s="24"/>
      <c r="M39" s="26"/>
    </row>
    <row r="40" spans="1:13" hidden="1" x14ac:dyDescent="0.3">
      <c r="A40" s="24" t="s">
        <v>20</v>
      </c>
      <c r="B40" s="24" t="s">
        <v>6</v>
      </c>
      <c r="C40" s="24" t="s">
        <v>27</v>
      </c>
      <c r="D40" s="24" t="s">
        <v>45</v>
      </c>
      <c r="E40" s="24" t="s">
        <v>57</v>
      </c>
      <c r="F40" s="25" t="s">
        <v>78</v>
      </c>
      <c r="G40" s="47">
        <v>1154950</v>
      </c>
      <c r="H40" s="5" t="s">
        <v>48</v>
      </c>
      <c r="I40" s="5" t="s">
        <v>50</v>
      </c>
      <c r="J40" s="24" t="s">
        <v>53</v>
      </c>
      <c r="K40" s="28">
        <v>46149</v>
      </c>
      <c r="L40" s="24"/>
      <c r="M40" s="26"/>
    </row>
    <row r="41" spans="1:13" hidden="1" x14ac:dyDescent="0.3">
      <c r="A41" s="24" t="s">
        <v>20</v>
      </c>
      <c r="B41" s="24" t="s">
        <v>6</v>
      </c>
      <c r="C41" s="24" t="s">
        <v>30</v>
      </c>
      <c r="D41" s="24" t="s">
        <v>41</v>
      </c>
      <c r="E41" s="24" t="s">
        <v>58</v>
      </c>
      <c r="F41" s="25" t="s">
        <v>106</v>
      </c>
      <c r="G41" s="47">
        <v>346526</v>
      </c>
      <c r="H41" s="5" t="s">
        <v>48</v>
      </c>
      <c r="I41" s="5" t="s">
        <v>50</v>
      </c>
      <c r="J41" s="24" t="s">
        <v>53</v>
      </c>
      <c r="K41" s="28">
        <v>46167</v>
      </c>
      <c r="L41" s="24"/>
      <c r="M41" s="26"/>
    </row>
    <row r="42" spans="1:13" hidden="1" x14ac:dyDescent="0.3">
      <c r="A42" s="24" t="s">
        <v>20</v>
      </c>
      <c r="B42" s="24" t="s">
        <v>7</v>
      </c>
      <c r="C42" s="24" t="s">
        <v>30</v>
      </c>
      <c r="D42" s="24" t="s">
        <v>41</v>
      </c>
      <c r="E42" s="24" t="s">
        <v>58</v>
      </c>
      <c r="F42" s="25" t="s">
        <v>107</v>
      </c>
      <c r="G42" s="47">
        <v>179441</v>
      </c>
      <c r="H42" s="5" t="s">
        <v>48</v>
      </c>
      <c r="I42" s="5" t="s">
        <v>50</v>
      </c>
      <c r="J42" s="24" t="s">
        <v>53</v>
      </c>
      <c r="K42" s="28">
        <v>46167</v>
      </c>
      <c r="L42" s="24"/>
      <c r="M42" s="26"/>
    </row>
    <row r="43" spans="1:13" hidden="1" x14ac:dyDescent="0.3">
      <c r="A43" s="24" t="s">
        <v>20</v>
      </c>
      <c r="B43" s="24" t="s">
        <v>6</v>
      </c>
      <c r="C43" s="24" t="s">
        <v>31</v>
      </c>
      <c r="D43" s="24" t="s">
        <v>46</v>
      </c>
      <c r="E43" s="24" t="s">
        <v>58</v>
      </c>
      <c r="F43" s="25" t="s">
        <v>108</v>
      </c>
      <c r="G43" s="47">
        <v>195000</v>
      </c>
      <c r="H43" s="5" t="s">
        <v>48</v>
      </c>
      <c r="I43" s="5" t="s">
        <v>50</v>
      </c>
      <c r="J43" s="24" t="s">
        <v>53</v>
      </c>
      <c r="K43" s="28">
        <v>46167</v>
      </c>
      <c r="L43" s="24"/>
      <c r="M43" s="26"/>
    </row>
    <row r="44" spans="1:13" hidden="1" x14ac:dyDescent="0.3">
      <c r="A44" s="24" t="s">
        <v>20</v>
      </c>
      <c r="B44" s="24" t="s">
        <v>7</v>
      </c>
      <c r="C44" s="24" t="s">
        <v>30</v>
      </c>
      <c r="D44" s="24" t="s">
        <v>41</v>
      </c>
      <c r="E44" s="24" t="s">
        <v>58</v>
      </c>
      <c r="F44" s="25" t="s">
        <v>109</v>
      </c>
      <c r="G44" s="47">
        <v>272904</v>
      </c>
      <c r="H44" s="5" t="s">
        <v>48</v>
      </c>
      <c r="I44" s="5" t="s">
        <v>50</v>
      </c>
      <c r="J44" s="24" t="s">
        <v>53</v>
      </c>
      <c r="K44" s="28">
        <v>46171</v>
      </c>
      <c r="L44" s="24"/>
      <c r="M44" s="26"/>
    </row>
    <row r="45" spans="1:13" hidden="1" x14ac:dyDescent="0.3">
      <c r="A45" s="24" t="s">
        <v>18</v>
      </c>
      <c r="B45" s="24" t="s">
        <v>6</v>
      </c>
      <c r="C45" s="24" t="s">
        <v>33</v>
      </c>
      <c r="D45" s="24" t="s">
        <v>41</v>
      </c>
      <c r="E45" s="24" t="s">
        <v>58</v>
      </c>
      <c r="F45" s="25" t="s">
        <v>110</v>
      </c>
      <c r="G45" s="47">
        <v>263000</v>
      </c>
      <c r="H45" s="5" t="s">
        <v>48</v>
      </c>
      <c r="I45" s="5" t="s">
        <v>50</v>
      </c>
      <c r="J45" s="24" t="s">
        <v>53</v>
      </c>
      <c r="K45" s="28">
        <v>46143</v>
      </c>
      <c r="L45" s="24"/>
      <c r="M45" s="26"/>
    </row>
    <row r="46" spans="1:13" hidden="1" x14ac:dyDescent="0.3">
      <c r="A46" s="24" t="s">
        <v>5</v>
      </c>
      <c r="B46" s="24" t="s">
        <v>7</v>
      </c>
      <c r="C46" s="24" t="s">
        <v>31</v>
      </c>
      <c r="D46" s="24" t="s">
        <v>46</v>
      </c>
      <c r="E46" s="24" t="s">
        <v>57</v>
      </c>
      <c r="F46" s="25" t="s">
        <v>125</v>
      </c>
      <c r="G46" s="47">
        <v>165000</v>
      </c>
      <c r="H46" s="5" t="s">
        <v>48</v>
      </c>
      <c r="I46" s="5" t="s">
        <v>50</v>
      </c>
      <c r="J46" s="24" t="s">
        <v>53</v>
      </c>
      <c r="K46" s="28">
        <v>46147</v>
      </c>
      <c r="L46" s="24"/>
      <c r="M46" s="26"/>
    </row>
    <row r="47" spans="1:13" hidden="1" x14ac:dyDescent="0.3">
      <c r="A47" s="24" t="s">
        <v>5</v>
      </c>
      <c r="B47" s="24" t="s">
        <v>6</v>
      </c>
      <c r="C47" s="24" t="s">
        <v>25</v>
      </c>
      <c r="D47" s="24" t="s">
        <v>45</v>
      </c>
      <c r="E47" s="24" t="s">
        <v>58</v>
      </c>
      <c r="F47" s="25" t="s">
        <v>128</v>
      </c>
      <c r="G47" s="47">
        <v>110400</v>
      </c>
      <c r="H47" s="5" t="s">
        <v>48</v>
      </c>
      <c r="I47" s="5" t="s">
        <v>50</v>
      </c>
      <c r="J47" s="24" t="s">
        <v>53</v>
      </c>
      <c r="K47" s="28">
        <v>46149</v>
      </c>
      <c r="L47" s="24"/>
      <c r="M47" s="26"/>
    </row>
    <row r="48" spans="1:13" hidden="1" x14ac:dyDescent="0.3">
      <c r="A48" s="24" t="s">
        <v>5</v>
      </c>
      <c r="B48" s="24" t="s">
        <v>6</v>
      </c>
      <c r="C48" s="24" t="s">
        <v>31</v>
      </c>
      <c r="D48" s="24" t="s">
        <v>37</v>
      </c>
      <c r="E48" s="24" t="s">
        <v>57</v>
      </c>
      <c r="F48" s="25" t="s">
        <v>126</v>
      </c>
      <c r="G48" s="47">
        <v>1646000</v>
      </c>
      <c r="H48" s="5" t="s">
        <v>47</v>
      </c>
      <c r="I48" s="5" t="s">
        <v>50</v>
      </c>
      <c r="J48" s="24" t="s">
        <v>53</v>
      </c>
      <c r="K48" s="28">
        <v>46150</v>
      </c>
      <c r="L48" s="24"/>
      <c r="M48" s="26"/>
    </row>
    <row r="49" spans="1:13" hidden="1" x14ac:dyDescent="0.3">
      <c r="A49" s="24" t="s">
        <v>5</v>
      </c>
      <c r="B49" s="24" t="s">
        <v>7</v>
      </c>
      <c r="C49" s="24" t="s">
        <v>31</v>
      </c>
      <c r="D49" s="24" t="s">
        <v>37</v>
      </c>
      <c r="E49" s="24" t="s">
        <v>57</v>
      </c>
      <c r="F49" s="25" t="s">
        <v>124</v>
      </c>
      <c r="G49" s="47">
        <v>823000</v>
      </c>
      <c r="H49" s="5" t="s">
        <v>47</v>
      </c>
      <c r="I49" s="5" t="s">
        <v>50</v>
      </c>
      <c r="J49" s="24" t="s">
        <v>53</v>
      </c>
      <c r="K49" s="28">
        <v>46150</v>
      </c>
      <c r="L49" s="24"/>
      <c r="M49" s="26"/>
    </row>
    <row r="50" spans="1:13" hidden="1" x14ac:dyDescent="0.3">
      <c r="A50" s="24" t="s">
        <v>5</v>
      </c>
      <c r="B50" s="24" t="s">
        <v>7</v>
      </c>
      <c r="C50" s="24" t="s">
        <v>33</v>
      </c>
      <c r="D50" s="24" t="s">
        <v>40</v>
      </c>
      <c r="E50" s="24" t="s">
        <v>58</v>
      </c>
      <c r="F50" s="25" t="s">
        <v>129</v>
      </c>
      <c r="G50" s="47">
        <v>50000</v>
      </c>
      <c r="H50" s="5" t="s">
        <v>48</v>
      </c>
      <c r="I50" s="5" t="s">
        <v>50</v>
      </c>
      <c r="J50" s="24" t="s">
        <v>52</v>
      </c>
      <c r="K50" s="28">
        <v>46156</v>
      </c>
      <c r="L50" s="24"/>
      <c r="M50" s="26"/>
    </row>
    <row r="51" spans="1:13" hidden="1" x14ac:dyDescent="0.3">
      <c r="A51" s="24" t="s">
        <v>5</v>
      </c>
      <c r="B51" s="24" t="s">
        <v>7</v>
      </c>
      <c r="C51" s="24" t="s">
        <v>33</v>
      </c>
      <c r="D51" s="24" t="s">
        <v>40</v>
      </c>
      <c r="E51" s="24" t="s">
        <v>58</v>
      </c>
      <c r="F51" s="25" t="s">
        <v>130</v>
      </c>
      <c r="G51" s="47">
        <v>15000</v>
      </c>
      <c r="H51" s="5" t="s">
        <v>48</v>
      </c>
      <c r="I51" s="5" t="s">
        <v>50</v>
      </c>
      <c r="J51" s="24" t="s">
        <v>52</v>
      </c>
      <c r="K51" s="28">
        <v>46156</v>
      </c>
      <c r="L51" s="24"/>
      <c r="M51" s="26"/>
    </row>
    <row r="52" spans="1:13" hidden="1" x14ac:dyDescent="0.3">
      <c r="A52" s="24" t="s">
        <v>5</v>
      </c>
      <c r="B52" s="24" t="s">
        <v>6</v>
      </c>
      <c r="C52" s="24" t="s">
        <v>23</v>
      </c>
      <c r="D52" s="24" t="s">
        <v>45</v>
      </c>
      <c r="E52" s="24" t="s">
        <v>58</v>
      </c>
      <c r="F52" s="25" t="s">
        <v>131</v>
      </c>
      <c r="G52" s="47">
        <v>19500</v>
      </c>
      <c r="H52" s="5" t="s">
        <v>48</v>
      </c>
      <c r="I52" s="5" t="s">
        <v>50</v>
      </c>
      <c r="J52" s="24" t="s">
        <v>52</v>
      </c>
      <c r="K52" s="28">
        <v>46156</v>
      </c>
      <c r="L52" s="24"/>
      <c r="M52" s="26"/>
    </row>
    <row r="53" spans="1:13" hidden="1" x14ac:dyDescent="0.3">
      <c r="A53" s="24" t="s">
        <v>5</v>
      </c>
      <c r="B53" s="24" t="s">
        <v>6</v>
      </c>
      <c r="C53" s="24" t="s">
        <v>27</v>
      </c>
      <c r="D53" s="24" t="s">
        <v>45</v>
      </c>
      <c r="E53" s="24" t="s">
        <v>58</v>
      </c>
      <c r="F53" s="25" t="s">
        <v>132</v>
      </c>
      <c r="G53" s="47">
        <v>49000</v>
      </c>
      <c r="H53" s="5" t="s">
        <v>48</v>
      </c>
      <c r="I53" s="5" t="s">
        <v>50</v>
      </c>
      <c r="J53" s="24" t="s">
        <v>52</v>
      </c>
      <c r="K53" s="28">
        <v>46156</v>
      </c>
      <c r="L53" s="24"/>
      <c r="M53" s="26"/>
    </row>
    <row r="54" spans="1:13" hidden="1" x14ac:dyDescent="0.3">
      <c r="A54" s="24" t="s">
        <v>5</v>
      </c>
      <c r="B54" s="24" t="s">
        <v>6</v>
      </c>
      <c r="C54" s="24" t="s">
        <v>25</v>
      </c>
      <c r="D54" s="24" t="s">
        <v>45</v>
      </c>
      <c r="E54" s="24" t="s">
        <v>58</v>
      </c>
      <c r="F54" s="25" t="s">
        <v>133</v>
      </c>
      <c r="G54" s="47">
        <v>1000</v>
      </c>
      <c r="H54" s="5" t="s">
        <v>48</v>
      </c>
      <c r="I54" s="5" t="s">
        <v>50</v>
      </c>
      <c r="J54" s="24" t="s">
        <v>52</v>
      </c>
      <c r="K54" s="28">
        <v>46156</v>
      </c>
      <c r="L54" s="24"/>
      <c r="M54" s="26"/>
    </row>
    <row r="55" spans="1:13" hidden="1" x14ac:dyDescent="0.3">
      <c r="A55" s="24" t="s">
        <v>5</v>
      </c>
      <c r="B55" s="24" t="s">
        <v>6</v>
      </c>
      <c r="C55" s="24" t="s">
        <v>27</v>
      </c>
      <c r="D55" s="24" t="s">
        <v>39</v>
      </c>
      <c r="E55" s="24" t="s">
        <v>58</v>
      </c>
      <c r="F55" s="25" t="s">
        <v>134</v>
      </c>
      <c r="G55" s="47">
        <v>22500</v>
      </c>
      <c r="H55" s="5" t="s">
        <v>48</v>
      </c>
      <c r="I55" s="5" t="s">
        <v>50</v>
      </c>
      <c r="J55" s="24" t="s">
        <v>52</v>
      </c>
      <c r="K55" s="28">
        <v>46156</v>
      </c>
      <c r="L55" s="24"/>
      <c r="M55" s="26"/>
    </row>
    <row r="56" spans="1:13" hidden="1" x14ac:dyDescent="0.3">
      <c r="A56" s="24" t="s">
        <v>5</v>
      </c>
      <c r="B56" s="24" t="s">
        <v>6</v>
      </c>
      <c r="C56" s="24" t="s">
        <v>27</v>
      </c>
      <c r="D56" s="24" t="s">
        <v>45</v>
      </c>
      <c r="E56" s="24" t="s">
        <v>60</v>
      </c>
      <c r="F56" s="25" t="s">
        <v>127</v>
      </c>
      <c r="G56" s="47">
        <v>500000</v>
      </c>
      <c r="H56" s="5" t="s">
        <v>48</v>
      </c>
      <c r="I56" s="5" t="s">
        <v>50</v>
      </c>
      <c r="J56" s="24" t="s">
        <v>53</v>
      </c>
      <c r="K56" s="28">
        <v>46157</v>
      </c>
      <c r="L56" s="24"/>
      <c r="M56" s="26"/>
    </row>
    <row r="57" spans="1:13" hidden="1" x14ac:dyDescent="0.3">
      <c r="A57" s="24" t="s">
        <v>5</v>
      </c>
      <c r="B57" s="24" t="s">
        <v>7</v>
      </c>
      <c r="C57" s="24" t="s">
        <v>33</v>
      </c>
      <c r="D57" s="24" t="s">
        <v>40</v>
      </c>
      <c r="E57" s="24" t="s">
        <v>58</v>
      </c>
      <c r="F57" s="25" t="s">
        <v>138</v>
      </c>
      <c r="G57" s="47">
        <v>105000</v>
      </c>
      <c r="H57" s="5" t="s">
        <v>48</v>
      </c>
      <c r="I57" s="5" t="s">
        <v>50</v>
      </c>
      <c r="J57" s="24" t="s">
        <v>52</v>
      </c>
      <c r="K57" s="28">
        <v>46158</v>
      </c>
      <c r="L57" s="24"/>
      <c r="M57" s="26"/>
    </row>
    <row r="58" spans="1:13" hidden="1" x14ac:dyDescent="0.3">
      <c r="A58" s="24" t="s">
        <v>5</v>
      </c>
      <c r="B58" s="24" t="s">
        <v>6</v>
      </c>
      <c r="C58" s="24" t="s">
        <v>23</v>
      </c>
      <c r="D58" s="24" t="s">
        <v>43</v>
      </c>
      <c r="E58" s="24" t="s">
        <v>58</v>
      </c>
      <c r="F58" s="25" t="s">
        <v>139</v>
      </c>
      <c r="G58" s="47">
        <v>155783</v>
      </c>
      <c r="H58" s="5" t="s">
        <v>48</v>
      </c>
      <c r="I58" s="5" t="s">
        <v>50</v>
      </c>
      <c r="J58" s="24" t="s">
        <v>53</v>
      </c>
      <c r="K58" s="28">
        <v>46160</v>
      </c>
      <c r="L58" s="24"/>
      <c r="M58" s="26"/>
    </row>
    <row r="59" spans="1:13" hidden="1" x14ac:dyDescent="0.3">
      <c r="A59" s="24" t="s">
        <v>5</v>
      </c>
      <c r="B59" s="24" t="s">
        <v>6</v>
      </c>
      <c r="C59" s="24" t="s">
        <v>27</v>
      </c>
      <c r="D59" s="24" t="s">
        <v>43</v>
      </c>
      <c r="E59" s="24" t="s">
        <v>58</v>
      </c>
      <c r="F59" s="25" t="s">
        <v>140</v>
      </c>
      <c r="G59" s="47">
        <v>1310000</v>
      </c>
      <c r="H59" s="5" t="s">
        <v>47</v>
      </c>
      <c r="I59" s="5" t="s">
        <v>50</v>
      </c>
      <c r="J59" s="24" t="s">
        <v>53</v>
      </c>
      <c r="K59" s="28">
        <v>46160</v>
      </c>
      <c r="L59" s="24"/>
      <c r="M59" s="26"/>
    </row>
    <row r="60" spans="1:13" hidden="1" x14ac:dyDescent="0.3">
      <c r="A60" s="24" t="s">
        <v>5</v>
      </c>
      <c r="B60" s="24" t="s">
        <v>6</v>
      </c>
      <c r="C60" s="24" t="s">
        <v>27</v>
      </c>
      <c r="D60" s="24" t="s">
        <v>45</v>
      </c>
      <c r="E60" s="24" t="s">
        <v>58</v>
      </c>
      <c r="F60" s="25" t="s">
        <v>142</v>
      </c>
      <c r="G60" s="47">
        <v>245000</v>
      </c>
      <c r="H60" s="5" t="s">
        <v>47</v>
      </c>
      <c r="I60" s="5" t="s">
        <v>50</v>
      </c>
      <c r="J60" s="24" t="s">
        <v>53</v>
      </c>
      <c r="K60" s="28">
        <v>46160</v>
      </c>
      <c r="L60" s="24"/>
      <c r="M60" s="26"/>
    </row>
    <row r="61" spans="1:13" hidden="1" x14ac:dyDescent="0.3">
      <c r="A61" s="24" t="s">
        <v>5</v>
      </c>
      <c r="B61" s="24" t="s">
        <v>7</v>
      </c>
      <c r="C61" s="24" t="s">
        <v>32</v>
      </c>
      <c r="D61" s="24" t="s">
        <v>40</v>
      </c>
      <c r="E61" s="24" t="s">
        <v>58</v>
      </c>
      <c r="F61" s="25" t="s">
        <v>145</v>
      </c>
      <c r="G61" s="47">
        <v>300000</v>
      </c>
      <c r="H61" s="5" t="s">
        <v>48</v>
      </c>
      <c r="I61" s="5" t="s">
        <v>50</v>
      </c>
      <c r="J61" s="24" t="s">
        <v>53</v>
      </c>
      <c r="K61" s="28">
        <v>46164</v>
      </c>
      <c r="L61" s="24"/>
      <c r="M61" s="26"/>
    </row>
    <row r="62" spans="1:13" hidden="1" x14ac:dyDescent="0.3">
      <c r="A62" s="24" t="s">
        <v>5</v>
      </c>
      <c r="B62" s="24" t="s">
        <v>6</v>
      </c>
      <c r="C62" s="24" t="s">
        <v>25</v>
      </c>
      <c r="D62" s="24" t="s">
        <v>45</v>
      </c>
      <c r="E62" s="24" t="s">
        <v>58</v>
      </c>
      <c r="F62" s="25" t="s">
        <v>146</v>
      </c>
      <c r="G62" s="47">
        <v>165000</v>
      </c>
      <c r="H62" s="5" t="s">
        <v>48</v>
      </c>
      <c r="I62" s="5" t="s">
        <v>50</v>
      </c>
      <c r="J62" s="24" t="s">
        <v>53</v>
      </c>
      <c r="K62" s="28">
        <v>46164</v>
      </c>
      <c r="L62" s="24"/>
      <c r="M62" s="26"/>
    </row>
    <row r="63" spans="1:13" hidden="1" x14ac:dyDescent="0.3">
      <c r="A63" s="24" t="s">
        <v>5</v>
      </c>
      <c r="B63" s="24" t="s">
        <v>6</v>
      </c>
      <c r="C63" s="24" t="s">
        <v>23</v>
      </c>
      <c r="D63" s="24" t="s">
        <v>45</v>
      </c>
      <c r="E63" s="24" t="s">
        <v>58</v>
      </c>
      <c r="F63" s="25" t="s">
        <v>148</v>
      </c>
      <c r="G63" s="47">
        <v>12073</v>
      </c>
      <c r="H63" s="5" t="s">
        <v>48</v>
      </c>
      <c r="I63" s="5" t="s">
        <v>50</v>
      </c>
      <c r="J63" s="24" t="s">
        <v>53</v>
      </c>
      <c r="K63" s="28">
        <v>46167</v>
      </c>
      <c r="L63" s="24"/>
      <c r="M63" s="26"/>
    </row>
    <row r="64" spans="1:13" hidden="1" x14ac:dyDescent="0.3">
      <c r="A64" s="24" t="s">
        <v>5</v>
      </c>
      <c r="B64" s="24" t="s">
        <v>6</v>
      </c>
      <c r="C64" s="24" t="s">
        <v>33</v>
      </c>
      <c r="D64" s="24" t="s">
        <v>39</v>
      </c>
      <c r="E64" s="24" t="s">
        <v>58</v>
      </c>
      <c r="F64" s="25" t="s">
        <v>149</v>
      </c>
      <c r="G64" s="47">
        <v>7000</v>
      </c>
      <c r="H64" s="5" t="s">
        <v>48</v>
      </c>
      <c r="I64" s="5" t="s">
        <v>50</v>
      </c>
      <c r="J64" s="24" t="s">
        <v>53</v>
      </c>
      <c r="K64" s="28">
        <v>46169</v>
      </c>
      <c r="L64" s="24"/>
      <c r="M64" s="26"/>
    </row>
    <row r="65" spans="1:13" hidden="1" x14ac:dyDescent="0.3">
      <c r="A65" s="24" t="s">
        <v>5</v>
      </c>
      <c r="B65" s="24" t="s">
        <v>6</v>
      </c>
      <c r="C65" s="24" t="s">
        <v>25</v>
      </c>
      <c r="D65" s="24" t="s">
        <v>45</v>
      </c>
      <c r="E65" s="24" t="s">
        <v>58</v>
      </c>
      <c r="F65" s="25" t="s">
        <v>150</v>
      </c>
      <c r="G65" s="47">
        <v>142000</v>
      </c>
      <c r="H65" s="5" t="s">
        <v>48</v>
      </c>
      <c r="I65" s="5" t="s">
        <v>50</v>
      </c>
      <c r="J65" s="24" t="s">
        <v>53</v>
      </c>
      <c r="K65" s="28">
        <v>46170</v>
      </c>
      <c r="L65" s="24"/>
      <c r="M65" s="26"/>
    </row>
    <row r="66" spans="1:13" hidden="1" x14ac:dyDescent="0.3">
      <c r="A66" s="24" t="s">
        <v>5</v>
      </c>
      <c r="B66" s="24" t="s">
        <v>6</v>
      </c>
      <c r="C66" s="24" t="s">
        <v>23</v>
      </c>
      <c r="D66" s="24" t="s">
        <v>39</v>
      </c>
      <c r="E66" s="24" t="s">
        <v>58</v>
      </c>
      <c r="F66" s="25" t="s">
        <v>152</v>
      </c>
      <c r="G66" s="47">
        <v>22000</v>
      </c>
      <c r="H66" s="5" t="s">
        <v>48</v>
      </c>
      <c r="I66" s="5" t="s">
        <v>50</v>
      </c>
      <c r="J66" s="24" t="s">
        <v>52</v>
      </c>
      <c r="K66" s="28">
        <v>46171</v>
      </c>
      <c r="L66" s="24"/>
      <c r="M66" s="26"/>
    </row>
    <row r="67" spans="1:13" hidden="1" x14ac:dyDescent="0.3">
      <c r="A67" s="24" t="s">
        <v>5</v>
      </c>
      <c r="B67" s="24" t="s">
        <v>6</v>
      </c>
      <c r="C67" s="24" t="s">
        <v>33</v>
      </c>
      <c r="D67" s="24" t="s">
        <v>39</v>
      </c>
      <c r="E67" s="24" t="s">
        <v>58</v>
      </c>
      <c r="F67" s="25" t="s">
        <v>153</v>
      </c>
      <c r="G67" s="47">
        <v>15000</v>
      </c>
      <c r="H67" s="5" t="s">
        <v>48</v>
      </c>
      <c r="I67" s="5" t="s">
        <v>50</v>
      </c>
      <c r="J67" s="24" t="s">
        <v>52</v>
      </c>
      <c r="K67" s="28">
        <v>46171</v>
      </c>
      <c r="L67" s="24"/>
      <c r="M67" s="26"/>
    </row>
    <row r="68" spans="1:13" hidden="1" x14ac:dyDescent="0.3">
      <c r="A68" s="24" t="s">
        <v>5</v>
      </c>
      <c r="B68" s="24" t="s">
        <v>6</v>
      </c>
      <c r="C68" s="24" t="s">
        <v>30</v>
      </c>
      <c r="D68" s="24" t="s">
        <v>40</v>
      </c>
      <c r="E68" s="24" t="s">
        <v>58</v>
      </c>
      <c r="F68" s="25" t="s">
        <v>154</v>
      </c>
      <c r="G68" s="47">
        <v>4500</v>
      </c>
      <c r="H68" s="5" t="s">
        <v>48</v>
      </c>
      <c r="I68" s="5" t="s">
        <v>50</v>
      </c>
      <c r="J68" s="24" t="s">
        <v>52</v>
      </c>
      <c r="K68" s="28">
        <v>46171</v>
      </c>
      <c r="L68" s="24"/>
      <c r="M68" s="26"/>
    </row>
    <row r="69" spans="1:13" hidden="1" x14ac:dyDescent="0.3">
      <c r="A69" s="24" t="s">
        <v>5</v>
      </c>
      <c r="B69" s="24" t="s">
        <v>6</v>
      </c>
      <c r="C69" s="24" t="s">
        <v>27</v>
      </c>
      <c r="D69" s="24" t="s">
        <v>45</v>
      </c>
      <c r="E69" s="24" t="s">
        <v>58</v>
      </c>
      <c r="F69" s="25" t="s">
        <v>155</v>
      </c>
      <c r="G69" s="47">
        <v>13500</v>
      </c>
      <c r="H69" s="5" t="s">
        <v>48</v>
      </c>
      <c r="I69" s="5" t="s">
        <v>50</v>
      </c>
      <c r="J69" s="24" t="s">
        <v>52</v>
      </c>
      <c r="K69" s="28">
        <v>46171</v>
      </c>
      <c r="L69" s="24"/>
      <c r="M69" s="26"/>
    </row>
    <row r="70" spans="1:13" hidden="1" x14ac:dyDescent="0.3">
      <c r="A70" s="24" t="s">
        <v>5</v>
      </c>
      <c r="B70" s="24" t="s">
        <v>6</v>
      </c>
      <c r="C70" s="24" t="s">
        <v>23</v>
      </c>
      <c r="D70" s="24" t="s">
        <v>45</v>
      </c>
      <c r="E70" s="24" t="s">
        <v>58</v>
      </c>
      <c r="F70" s="25" t="s">
        <v>156</v>
      </c>
      <c r="G70" s="47">
        <v>10000</v>
      </c>
      <c r="H70" s="5" t="s">
        <v>48</v>
      </c>
      <c r="I70" s="5" t="s">
        <v>50</v>
      </c>
      <c r="J70" s="24" t="s">
        <v>52</v>
      </c>
      <c r="K70" s="28">
        <v>46171</v>
      </c>
      <c r="L70" s="24"/>
      <c r="M70" s="26"/>
    </row>
    <row r="71" spans="1:13" hidden="1" x14ac:dyDescent="0.3">
      <c r="A71" s="24" t="s">
        <v>5</v>
      </c>
      <c r="B71" s="24" t="s">
        <v>6</v>
      </c>
      <c r="C71" s="24" t="s">
        <v>25</v>
      </c>
      <c r="D71" s="24" t="s">
        <v>37</v>
      </c>
      <c r="E71" s="24" t="s">
        <v>58</v>
      </c>
      <c r="F71" s="25" t="s">
        <v>157</v>
      </c>
      <c r="G71" s="47">
        <v>128000</v>
      </c>
      <c r="H71" s="5" t="s">
        <v>48</v>
      </c>
      <c r="I71" s="5" t="s">
        <v>50</v>
      </c>
      <c r="J71" s="24" t="s">
        <v>53</v>
      </c>
      <c r="K71" s="28">
        <v>46171</v>
      </c>
      <c r="L71" s="24"/>
      <c r="M71" s="26"/>
    </row>
    <row r="72" spans="1:13" hidden="1" x14ac:dyDescent="0.3">
      <c r="A72" s="24" t="s">
        <v>14</v>
      </c>
      <c r="B72" s="24" t="s">
        <v>6</v>
      </c>
      <c r="C72" s="24" t="s">
        <v>32</v>
      </c>
      <c r="D72" s="24" t="s">
        <v>44</v>
      </c>
      <c r="E72" s="24" t="s">
        <v>58</v>
      </c>
      <c r="F72" s="25" t="s">
        <v>111</v>
      </c>
      <c r="G72" s="47">
        <v>145683</v>
      </c>
      <c r="H72" s="5" t="s">
        <v>48</v>
      </c>
      <c r="I72" s="5" t="s">
        <v>50</v>
      </c>
      <c r="J72" s="24" t="s">
        <v>53</v>
      </c>
      <c r="K72" s="28">
        <v>46148</v>
      </c>
      <c r="L72" s="24"/>
      <c r="M72" s="26"/>
    </row>
    <row r="73" spans="1:13" hidden="1" x14ac:dyDescent="0.3">
      <c r="A73" s="24" t="s">
        <v>17</v>
      </c>
      <c r="B73" s="24" t="s">
        <v>6</v>
      </c>
      <c r="C73" s="24" t="s">
        <v>31</v>
      </c>
      <c r="D73" s="24" t="s">
        <v>42</v>
      </c>
      <c r="E73" s="24" t="s">
        <v>58</v>
      </c>
      <c r="F73" s="25" t="s">
        <v>112</v>
      </c>
      <c r="G73" s="47">
        <v>15000</v>
      </c>
      <c r="H73" s="5" t="s">
        <v>47</v>
      </c>
      <c r="I73" s="5" t="s">
        <v>50</v>
      </c>
      <c r="J73" s="24" t="s">
        <v>52</v>
      </c>
      <c r="K73" s="28">
        <v>46144</v>
      </c>
      <c r="L73" s="24"/>
      <c r="M73" s="26"/>
    </row>
    <row r="74" spans="1:13" hidden="1" x14ac:dyDescent="0.3">
      <c r="A74" s="24" t="s">
        <v>17</v>
      </c>
      <c r="B74" s="24" t="s">
        <v>6</v>
      </c>
      <c r="C74" s="24" t="s">
        <v>27</v>
      </c>
      <c r="D74" s="24" t="s">
        <v>45</v>
      </c>
      <c r="E74" s="24" t="s">
        <v>57</v>
      </c>
      <c r="F74" s="25" t="s">
        <v>78</v>
      </c>
      <c r="G74" s="47">
        <v>628970</v>
      </c>
      <c r="H74" s="5" t="s">
        <v>48</v>
      </c>
      <c r="I74" s="5" t="s">
        <v>50</v>
      </c>
      <c r="J74" s="24" t="s">
        <v>53</v>
      </c>
      <c r="K74" s="28">
        <v>46149</v>
      </c>
      <c r="L74" s="24"/>
      <c r="M74" s="26"/>
    </row>
    <row r="75" spans="1:13" hidden="1" x14ac:dyDescent="0.3">
      <c r="A75" s="24" t="s">
        <v>17</v>
      </c>
      <c r="B75" s="24" t="s">
        <v>6</v>
      </c>
      <c r="C75" s="24" t="s">
        <v>33</v>
      </c>
      <c r="D75" s="24" t="s">
        <v>39</v>
      </c>
      <c r="E75" s="24" t="s">
        <v>58</v>
      </c>
      <c r="F75" s="25" t="s">
        <v>113</v>
      </c>
      <c r="G75" s="47">
        <v>25000</v>
      </c>
      <c r="H75" s="5" t="s">
        <v>48</v>
      </c>
      <c r="I75" s="5" t="s">
        <v>50</v>
      </c>
      <c r="J75" s="24" t="s">
        <v>52</v>
      </c>
      <c r="K75" s="28">
        <v>46158</v>
      </c>
      <c r="L75" s="24"/>
      <c r="M75" s="26"/>
    </row>
    <row r="76" spans="1:13" hidden="1" x14ac:dyDescent="0.3">
      <c r="A76" s="24" t="s">
        <v>17</v>
      </c>
      <c r="B76" s="24" t="s">
        <v>6</v>
      </c>
      <c r="C76" s="24" t="s">
        <v>25</v>
      </c>
      <c r="D76" s="24" t="s">
        <v>43</v>
      </c>
      <c r="E76" s="24" t="s">
        <v>58</v>
      </c>
      <c r="F76" s="25" t="s">
        <v>114</v>
      </c>
      <c r="G76" s="47">
        <v>130000</v>
      </c>
      <c r="H76" s="5" t="s">
        <v>48</v>
      </c>
      <c r="I76" s="5" t="s">
        <v>50</v>
      </c>
      <c r="J76" s="24" t="s">
        <v>53</v>
      </c>
      <c r="K76" s="28">
        <v>46151</v>
      </c>
      <c r="L76" s="24"/>
      <c r="M76" s="26"/>
    </row>
    <row r="77" spans="1:13" hidden="1" x14ac:dyDescent="0.3">
      <c r="A77" s="24" t="s">
        <v>17</v>
      </c>
      <c r="B77" s="24" t="s">
        <v>6</v>
      </c>
      <c r="C77" s="24" t="s">
        <v>30</v>
      </c>
      <c r="D77" s="24" t="s">
        <v>45</v>
      </c>
      <c r="E77" s="24" t="s">
        <v>58</v>
      </c>
      <c r="F77" s="25" t="s">
        <v>115</v>
      </c>
      <c r="G77" s="47">
        <v>15000</v>
      </c>
      <c r="H77" s="5" t="s">
        <v>48</v>
      </c>
      <c r="I77" s="5" t="s">
        <v>50</v>
      </c>
      <c r="J77" s="24" t="s">
        <v>52</v>
      </c>
      <c r="K77" s="28">
        <v>46163</v>
      </c>
      <c r="L77" s="24"/>
      <c r="M77" s="26"/>
    </row>
    <row r="78" spans="1:13" hidden="1" x14ac:dyDescent="0.3">
      <c r="A78" s="24" t="s">
        <v>17</v>
      </c>
      <c r="B78" s="24" t="s">
        <v>6</v>
      </c>
      <c r="C78" s="24" t="s">
        <v>33</v>
      </c>
      <c r="D78" s="24" t="s">
        <v>37</v>
      </c>
      <c r="E78" s="24" t="s">
        <v>58</v>
      </c>
      <c r="F78" s="25" t="s">
        <v>116</v>
      </c>
      <c r="G78" s="47">
        <v>18000</v>
      </c>
      <c r="H78" s="5" t="s">
        <v>48</v>
      </c>
      <c r="I78" s="5" t="s">
        <v>50</v>
      </c>
      <c r="J78" s="24" t="s">
        <v>52</v>
      </c>
      <c r="K78" s="28">
        <v>46163</v>
      </c>
      <c r="L78" s="24"/>
      <c r="M78" s="26"/>
    </row>
    <row r="79" spans="1:13" hidden="1" x14ac:dyDescent="0.3">
      <c r="A79" s="24" t="s">
        <v>17</v>
      </c>
      <c r="B79" s="24" t="s">
        <v>6</v>
      </c>
      <c r="C79" s="24" t="s">
        <v>31</v>
      </c>
      <c r="D79" s="24" t="s">
        <v>44</v>
      </c>
      <c r="E79" s="24" t="s">
        <v>57</v>
      </c>
      <c r="F79" s="25" t="s">
        <v>117</v>
      </c>
      <c r="G79" s="47">
        <v>15000</v>
      </c>
      <c r="H79" s="5" t="s">
        <v>47</v>
      </c>
      <c r="I79" s="5" t="s">
        <v>50</v>
      </c>
      <c r="J79" s="24" t="s">
        <v>52</v>
      </c>
      <c r="K79" s="28">
        <v>46163</v>
      </c>
      <c r="L79" s="24"/>
      <c r="M79" s="26"/>
    </row>
    <row r="80" spans="1:13" hidden="1" x14ac:dyDescent="0.3">
      <c r="A80" s="24" t="s">
        <v>17</v>
      </c>
      <c r="B80" s="24" t="s">
        <v>6</v>
      </c>
      <c r="C80" s="24" t="s">
        <v>33</v>
      </c>
      <c r="D80" s="24" t="s">
        <v>37</v>
      </c>
      <c r="E80" s="24" t="s">
        <v>58</v>
      </c>
      <c r="F80" s="25" t="s">
        <v>68</v>
      </c>
      <c r="G80" s="47">
        <v>19500</v>
      </c>
      <c r="H80" s="5" t="s">
        <v>48</v>
      </c>
      <c r="I80" s="5" t="s">
        <v>50</v>
      </c>
      <c r="J80" s="24" t="s">
        <v>52</v>
      </c>
      <c r="K80" s="28">
        <v>46163</v>
      </c>
      <c r="L80" s="24"/>
      <c r="M80" s="26"/>
    </row>
    <row r="81" spans="1:13" hidden="1" x14ac:dyDescent="0.3">
      <c r="A81" s="24" t="s">
        <v>17</v>
      </c>
      <c r="B81" s="24" t="s">
        <v>6</v>
      </c>
      <c r="C81" s="24" t="s">
        <v>33</v>
      </c>
      <c r="D81" s="24" t="s">
        <v>46</v>
      </c>
      <c r="E81" s="24" t="s">
        <v>58</v>
      </c>
      <c r="F81" s="25" t="s">
        <v>118</v>
      </c>
      <c r="G81" s="47">
        <v>5000</v>
      </c>
      <c r="H81" s="5" t="s">
        <v>48</v>
      </c>
      <c r="I81" s="5" t="s">
        <v>50</v>
      </c>
      <c r="J81" s="24" t="s">
        <v>52</v>
      </c>
      <c r="K81" s="28">
        <v>46163</v>
      </c>
      <c r="L81" s="24"/>
      <c r="M81" s="26"/>
    </row>
    <row r="82" spans="1:13" hidden="1" x14ac:dyDescent="0.3">
      <c r="A82" s="24" t="s">
        <v>17</v>
      </c>
      <c r="B82" s="24" t="s">
        <v>6</v>
      </c>
      <c r="C82" s="24" t="s">
        <v>30</v>
      </c>
      <c r="D82" s="24" t="s">
        <v>46</v>
      </c>
      <c r="E82" s="24" t="s">
        <v>58</v>
      </c>
      <c r="F82" s="25" t="s">
        <v>119</v>
      </c>
      <c r="G82" s="47">
        <v>65000</v>
      </c>
      <c r="H82" s="5" t="s">
        <v>48</v>
      </c>
      <c r="I82" s="5" t="s">
        <v>50</v>
      </c>
      <c r="J82" s="24" t="s">
        <v>52</v>
      </c>
      <c r="K82" s="28">
        <v>46163</v>
      </c>
      <c r="L82" s="24"/>
      <c r="M82" s="26"/>
    </row>
    <row r="83" spans="1:13" hidden="1" x14ac:dyDescent="0.3">
      <c r="A83" s="24" t="s">
        <v>17</v>
      </c>
      <c r="B83" s="24" t="s">
        <v>6</v>
      </c>
      <c r="C83" s="24" t="s">
        <v>25</v>
      </c>
      <c r="D83" s="24" t="s">
        <v>45</v>
      </c>
      <c r="E83" s="24" t="s">
        <v>58</v>
      </c>
      <c r="F83" s="25" t="s">
        <v>120</v>
      </c>
      <c r="G83" s="47">
        <v>18000</v>
      </c>
      <c r="H83" s="5" t="s">
        <v>48</v>
      </c>
      <c r="I83" s="5" t="s">
        <v>50</v>
      </c>
      <c r="J83" s="24" t="s">
        <v>52</v>
      </c>
      <c r="K83" s="28">
        <v>46163</v>
      </c>
      <c r="L83" s="24"/>
      <c r="M83" s="26"/>
    </row>
    <row r="84" spans="1:13" hidden="1" x14ac:dyDescent="0.3">
      <c r="A84" s="24" t="s">
        <v>17</v>
      </c>
      <c r="B84" s="24" t="s">
        <v>6</v>
      </c>
      <c r="C84" s="24" t="s">
        <v>30</v>
      </c>
      <c r="D84" s="24" t="s">
        <v>40</v>
      </c>
      <c r="E84" s="24" t="s">
        <v>58</v>
      </c>
      <c r="F84" s="25" t="s">
        <v>121</v>
      </c>
      <c r="G84" s="47">
        <v>123235</v>
      </c>
      <c r="H84" s="5" t="s">
        <v>48</v>
      </c>
      <c r="I84" s="5" t="s">
        <v>50</v>
      </c>
      <c r="J84" s="24" t="s">
        <v>53</v>
      </c>
      <c r="K84" s="28">
        <v>46168</v>
      </c>
      <c r="L84" s="24"/>
      <c r="M84" s="26"/>
    </row>
    <row r="85" spans="1:13" hidden="1" x14ac:dyDescent="0.3">
      <c r="A85" s="24" t="s">
        <v>17</v>
      </c>
      <c r="B85" s="24" t="s">
        <v>6</v>
      </c>
      <c r="C85" s="24" t="s">
        <v>30</v>
      </c>
      <c r="D85" s="24" t="s">
        <v>46</v>
      </c>
      <c r="E85" s="24" t="s">
        <v>58</v>
      </c>
      <c r="F85" s="25" t="s">
        <v>122</v>
      </c>
      <c r="G85" s="47">
        <v>73832</v>
      </c>
      <c r="H85" s="5" t="s">
        <v>48</v>
      </c>
      <c r="I85" s="5" t="s">
        <v>50</v>
      </c>
      <c r="J85" s="24" t="s">
        <v>53</v>
      </c>
      <c r="K85" s="28">
        <v>46167</v>
      </c>
      <c r="L85" s="24"/>
      <c r="M85" s="26"/>
    </row>
    <row r="86" spans="1:13" hidden="1" x14ac:dyDescent="0.3">
      <c r="A86" s="24" t="s">
        <v>17</v>
      </c>
      <c r="B86" s="24" t="s">
        <v>6</v>
      </c>
      <c r="C86" s="24" t="s">
        <v>30</v>
      </c>
      <c r="D86" s="24" t="s">
        <v>45</v>
      </c>
      <c r="E86" s="24" t="s">
        <v>57</v>
      </c>
      <c r="F86" s="25" t="s">
        <v>80</v>
      </c>
      <c r="G86" s="47">
        <v>75000</v>
      </c>
      <c r="H86" s="5" t="s">
        <v>48</v>
      </c>
      <c r="I86" s="5" t="s">
        <v>50</v>
      </c>
      <c r="J86" s="24" t="s">
        <v>52</v>
      </c>
      <c r="K86" s="28">
        <v>46167</v>
      </c>
      <c r="L86" s="24"/>
      <c r="M86" s="26"/>
    </row>
    <row r="87" spans="1:13" hidden="1" x14ac:dyDescent="0.3">
      <c r="A87" s="24" t="s">
        <v>17</v>
      </c>
      <c r="B87" s="24" t="s">
        <v>6</v>
      </c>
      <c r="C87" s="24" t="s">
        <v>27</v>
      </c>
      <c r="D87" s="24" t="s">
        <v>45</v>
      </c>
      <c r="E87" s="24" t="s">
        <v>58</v>
      </c>
      <c r="F87" s="25" t="s">
        <v>123</v>
      </c>
      <c r="G87" s="47">
        <v>95000</v>
      </c>
      <c r="H87" s="5" t="s">
        <v>48</v>
      </c>
      <c r="I87" s="5" t="s">
        <v>50</v>
      </c>
      <c r="J87" s="24" t="s">
        <v>53</v>
      </c>
      <c r="K87" s="28">
        <v>46171</v>
      </c>
      <c r="L87" s="24"/>
      <c r="M87" s="26"/>
    </row>
    <row r="88" spans="1:13" hidden="1" x14ac:dyDescent="0.3">
      <c r="A88" s="24" t="s">
        <v>8</v>
      </c>
      <c r="B88" s="24" t="s">
        <v>7</v>
      </c>
      <c r="C88" s="24" t="s">
        <v>33</v>
      </c>
      <c r="D88" s="24" t="s">
        <v>40</v>
      </c>
      <c r="E88" s="24" t="s">
        <v>58</v>
      </c>
      <c r="F88" s="25" t="s">
        <v>137</v>
      </c>
      <c r="G88" s="47">
        <v>2900</v>
      </c>
      <c r="H88" s="5" t="s">
        <v>48</v>
      </c>
      <c r="I88" s="5" t="s">
        <v>50</v>
      </c>
      <c r="J88" s="24" t="s">
        <v>52</v>
      </c>
      <c r="K88" s="28">
        <v>46158</v>
      </c>
      <c r="L88" s="24"/>
      <c r="M88" s="26"/>
    </row>
    <row r="89" spans="1:13" hidden="1" x14ac:dyDescent="0.3">
      <c r="A89" s="24" t="s">
        <v>8</v>
      </c>
      <c r="B89" s="24" t="s">
        <v>7</v>
      </c>
      <c r="C89" s="24" t="s">
        <v>33</v>
      </c>
      <c r="D89" s="24" t="s">
        <v>40</v>
      </c>
      <c r="E89" s="24" t="s">
        <v>58</v>
      </c>
      <c r="F89" s="25" t="s">
        <v>135</v>
      </c>
      <c r="G89" s="47">
        <v>13500</v>
      </c>
      <c r="H89" s="5" t="s">
        <v>48</v>
      </c>
      <c r="I89" s="5" t="s">
        <v>50</v>
      </c>
      <c r="J89" s="24" t="s">
        <v>52</v>
      </c>
      <c r="K89" s="28">
        <v>46157</v>
      </c>
      <c r="L89" s="24"/>
      <c r="M89" s="26"/>
    </row>
    <row r="90" spans="1:13" hidden="1" x14ac:dyDescent="0.3">
      <c r="A90" s="24" t="s">
        <v>8</v>
      </c>
      <c r="B90" s="24" t="s">
        <v>6</v>
      </c>
      <c r="C90" s="24" t="s">
        <v>29</v>
      </c>
      <c r="D90" s="24" t="s">
        <v>43</v>
      </c>
      <c r="E90" s="24" t="s">
        <v>58</v>
      </c>
      <c r="F90" s="25" t="s">
        <v>136</v>
      </c>
      <c r="G90" s="47">
        <v>15000</v>
      </c>
      <c r="H90" s="5" t="s">
        <v>48</v>
      </c>
      <c r="I90" s="5" t="s">
        <v>50</v>
      </c>
      <c r="J90" s="24" t="s">
        <v>52</v>
      </c>
      <c r="K90" s="28">
        <v>46158</v>
      </c>
      <c r="L90" s="24"/>
      <c r="M90" s="26"/>
    </row>
    <row r="91" spans="1:13" hidden="1" x14ac:dyDescent="0.3">
      <c r="A91" s="24" t="s">
        <v>8</v>
      </c>
      <c r="B91" s="24" t="s">
        <v>6</v>
      </c>
      <c r="C91" s="24" t="s">
        <v>30</v>
      </c>
      <c r="D91" s="24" t="s">
        <v>37</v>
      </c>
      <c r="E91" s="24" t="s">
        <v>58</v>
      </c>
      <c r="F91" s="25" t="s">
        <v>143</v>
      </c>
      <c r="G91" s="47">
        <v>25000</v>
      </c>
      <c r="H91" s="5" t="s">
        <v>48</v>
      </c>
      <c r="I91" s="5" t="s">
        <v>50</v>
      </c>
      <c r="J91" s="24" t="s">
        <v>52</v>
      </c>
      <c r="K91" s="28">
        <v>46161</v>
      </c>
      <c r="L91" s="24"/>
      <c r="M91" s="26"/>
    </row>
    <row r="92" spans="1:13" hidden="1" x14ac:dyDescent="0.3">
      <c r="A92" s="24" t="s">
        <v>8</v>
      </c>
      <c r="B92" s="24" t="s">
        <v>6</v>
      </c>
      <c r="C92" s="24" t="s">
        <v>29</v>
      </c>
      <c r="D92" s="24" t="s">
        <v>43</v>
      </c>
      <c r="E92" s="24" t="s">
        <v>58</v>
      </c>
      <c r="F92" s="25" t="s">
        <v>147</v>
      </c>
      <c r="G92" s="47">
        <v>25000</v>
      </c>
      <c r="H92" s="5" t="s">
        <v>48</v>
      </c>
      <c r="I92" s="5" t="s">
        <v>50</v>
      </c>
      <c r="J92" s="24" t="s">
        <v>52</v>
      </c>
      <c r="K92" s="28">
        <v>46165</v>
      </c>
      <c r="L92" s="24"/>
      <c r="M92" s="26"/>
    </row>
    <row r="93" spans="1:13" hidden="1" x14ac:dyDescent="0.3">
      <c r="A93" s="24" t="s">
        <v>8</v>
      </c>
      <c r="B93" s="24" t="s">
        <v>6</v>
      </c>
      <c r="C93" s="24" t="s">
        <v>23</v>
      </c>
      <c r="D93" s="24" t="s">
        <v>43</v>
      </c>
      <c r="E93" s="24" t="s">
        <v>58</v>
      </c>
      <c r="F93" s="25" t="s">
        <v>151</v>
      </c>
      <c r="G93" s="47">
        <v>177036</v>
      </c>
      <c r="H93" s="5" t="s">
        <v>48</v>
      </c>
      <c r="I93" s="5" t="s">
        <v>50</v>
      </c>
      <c r="J93" s="24" t="s">
        <v>53</v>
      </c>
      <c r="K93" s="28">
        <v>46171</v>
      </c>
      <c r="L93" s="24"/>
      <c r="M93" s="26"/>
    </row>
    <row r="94" spans="1:13" hidden="1" x14ac:dyDescent="0.3">
      <c r="A94" s="24" t="s">
        <v>8</v>
      </c>
      <c r="B94" s="24" t="s">
        <v>6</v>
      </c>
      <c r="C94" s="24" t="s">
        <v>23</v>
      </c>
      <c r="D94" s="24" t="s">
        <v>43</v>
      </c>
      <c r="E94" s="24" t="s">
        <v>58</v>
      </c>
      <c r="F94" s="25" t="s">
        <v>158</v>
      </c>
      <c r="G94" s="47">
        <v>177036</v>
      </c>
      <c r="H94" s="5" t="s">
        <v>48</v>
      </c>
      <c r="I94" s="5" t="s">
        <v>50</v>
      </c>
      <c r="J94" s="24" t="s">
        <v>53</v>
      </c>
      <c r="K94" s="28">
        <v>46171</v>
      </c>
      <c r="L94" s="24"/>
      <c r="M94" s="26"/>
    </row>
    <row r="95" spans="1:13" hidden="1" x14ac:dyDescent="0.3">
      <c r="A95" s="24" t="s">
        <v>8</v>
      </c>
      <c r="B95" s="24" t="s">
        <v>7</v>
      </c>
      <c r="C95" s="24" t="s">
        <v>32</v>
      </c>
      <c r="D95" s="24" t="s">
        <v>40</v>
      </c>
      <c r="E95" s="24" t="s">
        <v>58</v>
      </c>
      <c r="F95" s="25" t="s">
        <v>145</v>
      </c>
      <c r="G95" s="47">
        <v>300000</v>
      </c>
      <c r="H95" s="5" t="s">
        <v>48</v>
      </c>
      <c r="I95" s="5" t="s">
        <v>50</v>
      </c>
      <c r="J95" s="24" t="s">
        <v>53</v>
      </c>
      <c r="K95" s="28">
        <v>46164</v>
      </c>
      <c r="L95" s="24"/>
      <c r="M95" s="26"/>
    </row>
    <row r="96" spans="1:13" hidden="1" x14ac:dyDescent="0.3">
      <c r="A96" s="24" t="s">
        <v>8</v>
      </c>
      <c r="B96" s="24" t="s">
        <v>6</v>
      </c>
      <c r="C96" s="24" t="s">
        <v>26</v>
      </c>
      <c r="D96" s="24" t="s">
        <v>45</v>
      </c>
      <c r="E96" s="24" t="s">
        <v>60</v>
      </c>
      <c r="F96" s="25" t="s">
        <v>127</v>
      </c>
      <c r="G96" s="47">
        <v>425000</v>
      </c>
      <c r="H96" s="5" t="s">
        <v>48</v>
      </c>
      <c r="I96" s="5" t="s">
        <v>50</v>
      </c>
      <c r="J96" s="24" t="s">
        <v>53</v>
      </c>
      <c r="K96" s="28">
        <v>46149</v>
      </c>
      <c r="L96" s="24"/>
      <c r="M96" s="26"/>
    </row>
    <row r="97" spans="1:13" hidden="1" x14ac:dyDescent="0.3">
      <c r="A97" s="24" t="s">
        <v>8</v>
      </c>
      <c r="B97" s="24" t="s">
        <v>6</v>
      </c>
      <c r="C97" s="24" t="s">
        <v>31</v>
      </c>
      <c r="D97" s="24" t="s">
        <v>37</v>
      </c>
      <c r="E97" s="24" t="s">
        <v>58</v>
      </c>
      <c r="F97" s="25" t="s">
        <v>144</v>
      </c>
      <c r="G97" s="47">
        <v>465520</v>
      </c>
      <c r="H97" s="5" t="s">
        <v>48</v>
      </c>
      <c r="I97" s="5" t="s">
        <v>50</v>
      </c>
      <c r="J97" s="24" t="s">
        <v>53</v>
      </c>
      <c r="K97" s="28">
        <v>46161</v>
      </c>
      <c r="L97" s="24"/>
      <c r="M97" s="26"/>
    </row>
    <row r="98" spans="1:13" hidden="1" x14ac:dyDescent="0.3">
      <c r="A98" s="24" t="s">
        <v>8</v>
      </c>
      <c r="B98" s="24" t="s">
        <v>6</v>
      </c>
      <c r="C98" s="24" t="s">
        <v>31</v>
      </c>
      <c r="D98" s="24" t="s">
        <v>41</v>
      </c>
      <c r="E98" s="24" t="s">
        <v>60</v>
      </c>
      <c r="F98" s="25" t="s">
        <v>141</v>
      </c>
      <c r="G98" s="47">
        <v>479400</v>
      </c>
      <c r="H98" s="5" t="s">
        <v>47</v>
      </c>
      <c r="I98" s="5" t="s">
        <v>50</v>
      </c>
      <c r="J98" s="24" t="s">
        <v>53</v>
      </c>
      <c r="K98" s="28">
        <v>46160</v>
      </c>
      <c r="L98" s="24"/>
      <c r="M98" s="26"/>
    </row>
    <row r="99" spans="1:13" hidden="1" x14ac:dyDescent="0.3">
      <c r="A99" s="24" t="s">
        <v>8</v>
      </c>
      <c r="B99" s="24" t="s">
        <v>7</v>
      </c>
      <c r="C99" s="24" t="s">
        <v>31</v>
      </c>
      <c r="D99" s="24" t="s">
        <v>37</v>
      </c>
      <c r="E99" s="24" t="s">
        <v>57</v>
      </c>
      <c r="F99" s="25" t="s">
        <v>124</v>
      </c>
      <c r="G99" s="47">
        <v>823000</v>
      </c>
      <c r="H99" s="5" t="s">
        <v>47</v>
      </c>
      <c r="I99" s="5" t="s">
        <v>50</v>
      </c>
      <c r="J99" s="24" t="s">
        <v>53</v>
      </c>
      <c r="K99" s="28">
        <v>46148</v>
      </c>
      <c r="L99" s="24"/>
      <c r="M99" s="26"/>
    </row>
    <row r="100" spans="1:13" hidden="1" x14ac:dyDescent="0.3">
      <c r="A100" s="24" t="s">
        <v>8</v>
      </c>
      <c r="B100" s="24" t="s">
        <v>6</v>
      </c>
      <c r="C100" s="24" t="s">
        <v>31</v>
      </c>
      <c r="D100" s="24" t="s">
        <v>37</v>
      </c>
      <c r="E100" s="24" t="s">
        <v>57</v>
      </c>
      <c r="F100" s="25" t="s">
        <v>124</v>
      </c>
      <c r="G100" s="47">
        <v>823000</v>
      </c>
      <c r="H100" s="5" t="s">
        <v>47</v>
      </c>
      <c r="I100" s="5" t="s">
        <v>50</v>
      </c>
      <c r="J100" s="24" t="s">
        <v>53</v>
      </c>
      <c r="K100" s="28">
        <v>46160</v>
      </c>
      <c r="L100" s="24"/>
      <c r="M100" s="26"/>
    </row>
    <row r="101" spans="1:13" hidden="1" x14ac:dyDescent="0.3">
      <c r="A101" s="24" t="s">
        <v>8</v>
      </c>
      <c r="B101" s="24" t="s">
        <v>6</v>
      </c>
      <c r="C101" s="24" t="s">
        <v>31</v>
      </c>
      <c r="D101" s="24" t="s">
        <v>37</v>
      </c>
      <c r="E101" s="24" t="s">
        <v>57</v>
      </c>
      <c r="F101" s="25" t="s">
        <v>124</v>
      </c>
      <c r="G101" s="47">
        <v>828000</v>
      </c>
      <c r="H101" s="5" t="s">
        <v>47</v>
      </c>
      <c r="I101" s="5" t="s">
        <v>50</v>
      </c>
      <c r="J101" s="24" t="s">
        <v>52</v>
      </c>
      <c r="K101" s="28">
        <v>46144</v>
      </c>
      <c r="L101" s="24"/>
      <c r="M101" s="26"/>
    </row>
    <row r="102" spans="1:13" hidden="1" x14ac:dyDescent="0.3">
      <c r="A102" s="24" t="s">
        <v>8</v>
      </c>
      <c r="B102" s="24" t="s">
        <v>7</v>
      </c>
      <c r="C102" s="24" t="s">
        <v>31</v>
      </c>
      <c r="D102" s="24" t="s">
        <v>37</v>
      </c>
      <c r="E102" s="24" t="s">
        <v>57</v>
      </c>
      <c r="F102" s="25" t="s">
        <v>124</v>
      </c>
      <c r="G102" s="47">
        <v>828000</v>
      </c>
      <c r="H102" s="5" t="s">
        <v>47</v>
      </c>
      <c r="I102" s="5" t="s">
        <v>50</v>
      </c>
      <c r="J102" s="24" t="s">
        <v>52</v>
      </c>
      <c r="K102" s="28">
        <v>46144</v>
      </c>
      <c r="L102" s="24"/>
      <c r="M102" s="26"/>
    </row>
    <row r="103" spans="1:13" hidden="1" x14ac:dyDescent="0.3">
      <c r="A103" s="24" t="s">
        <v>8</v>
      </c>
      <c r="B103" s="24" t="s">
        <v>6</v>
      </c>
      <c r="C103" s="24" t="s">
        <v>27</v>
      </c>
      <c r="D103" s="24" t="s">
        <v>45</v>
      </c>
      <c r="E103" s="24" t="s">
        <v>60</v>
      </c>
      <c r="F103" s="25" t="s">
        <v>127</v>
      </c>
      <c r="G103" s="47">
        <v>1100000</v>
      </c>
      <c r="H103" s="5" t="s">
        <v>48</v>
      </c>
      <c r="I103" s="5" t="s">
        <v>50</v>
      </c>
      <c r="J103" s="24" t="s">
        <v>53</v>
      </c>
      <c r="K103" s="28">
        <v>46149</v>
      </c>
      <c r="L103" s="24"/>
      <c r="M103" s="26"/>
    </row>
    <row r="104" spans="1:13" hidden="1" x14ac:dyDescent="0.3">
      <c r="A104" s="24" t="s">
        <v>8</v>
      </c>
      <c r="B104" s="24" t="s">
        <v>6</v>
      </c>
      <c r="C104" s="24" t="s">
        <v>31</v>
      </c>
      <c r="D104" s="24" t="s">
        <v>37</v>
      </c>
      <c r="E104" s="24" t="s">
        <v>57</v>
      </c>
      <c r="F104" s="25" t="s">
        <v>126</v>
      </c>
      <c r="G104" s="47">
        <v>1646000</v>
      </c>
      <c r="H104" s="5" t="s">
        <v>47</v>
      </c>
      <c r="I104" s="5" t="s">
        <v>50</v>
      </c>
      <c r="J104" s="24" t="s">
        <v>53</v>
      </c>
      <c r="K104" s="28">
        <v>46148</v>
      </c>
      <c r="L104" s="24"/>
      <c r="M104" s="26"/>
    </row>
    <row r="105" spans="1:13" hidden="1" x14ac:dyDescent="0.3">
      <c r="A105" s="24" t="s">
        <v>8</v>
      </c>
      <c r="B105" s="24" t="s">
        <v>7</v>
      </c>
      <c r="C105" s="24" t="s">
        <v>31</v>
      </c>
      <c r="D105" s="24" t="s">
        <v>37</v>
      </c>
      <c r="E105" s="24" t="s">
        <v>57</v>
      </c>
      <c r="F105" s="25" t="s">
        <v>126</v>
      </c>
      <c r="G105" s="47">
        <v>1646000</v>
      </c>
      <c r="H105" s="5" t="s">
        <v>47</v>
      </c>
      <c r="I105" s="5" t="s">
        <v>50</v>
      </c>
      <c r="J105" s="24" t="s">
        <v>53</v>
      </c>
      <c r="K105" s="28">
        <v>46160</v>
      </c>
      <c r="L105" s="24"/>
      <c r="M105" s="26"/>
    </row>
    <row r="106" spans="1:13" x14ac:dyDescent="0.3">
      <c r="A106" s="24" t="s">
        <v>17</v>
      </c>
      <c r="B106" s="24" t="s">
        <v>6</v>
      </c>
      <c r="C106" s="24" t="s">
        <v>25</v>
      </c>
      <c r="D106" s="24" t="s">
        <v>45</v>
      </c>
      <c r="E106" s="24" t="s">
        <v>57</v>
      </c>
      <c r="F106" s="25" t="s">
        <v>164</v>
      </c>
      <c r="G106" s="47">
        <v>149981</v>
      </c>
      <c r="H106" s="5" t="s">
        <v>48</v>
      </c>
      <c r="I106" s="5" t="s">
        <v>50</v>
      </c>
      <c r="J106" s="24" t="s">
        <v>53</v>
      </c>
      <c r="K106" s="28">
        <v>46175</v>
      </c>
      <c r="L106" s="24"/>
      <c r="M106" s="26" t="s">
        <v>165</v>
      </c>
    </row>
    <row r="107" spans="1:13" x14ac:dyDescent="0.3">
      <c r="A107" s="24" t="s">
        <v>17</v>
      </c>
      <c r="B107" s="24" t="s">
        <v>6</v>
      </c>
      <c r="C107" s="24" t="s">
        <v>30</v>
      </c>
      <c r="D107" s="24" t="s">
        <v>37</v>
      </c>
      <c r="E107" s="24" t="s">
        <v>58</v>
      </c>
      <c r="F107" s="25" t="s">
        <v>68</v>
      </c>
      <c r="G107" s="47">
        <v>81000</v>
      </c>
      <c r="H107" s="5" t="s">
        <v>48</v>
      </c>
      <c r="I107" s="5" t="s">
        <v>50</v>
      </c>
      <c r="J107" s="24" t="s">
        <v>53</v>
      </c>
      <c r="K107" s="28">
        <v>46190</v>
      </c>
      <c r="L107" s="24"/>
      <c r="M107" s="26" t="s">
        <v>205</v>
      </c>
    </row>
    <row r="108" spans="1:13" x14ac:dyDescent="0.3">
      <c r="A108" s="24" t="s">
        <v>17</v>
      </c>
      <c r="B108" s="24" t="s">
        <v>6</v>
      </c>
      <c r="C108" s="24" t="s">
        <v>30</v>
      </c>
      <c r="D108" s="24" t="s">
        <v>41</v>
      </c>
      <c r="E108" s="24" t="s">
        <v>57</v>
      </c>
      <c r="F108" s="25" t="s">
        <v>212</v>
      </c>
      <c r="G108" s="47">
        <v>360000</v>
      </c>
      <c r="H108" s="5" t="s">
        <v>48</v>
      </c>
      <c r="I108" s="5" t="s">
        <v>50</v>
      </c>
      <c r="J108" s="24" t="s">
        <v>53</v>
      </c>
      <c r="K108" s="28">
        <v>46198</v>
      </c>
      <c r="L108" s="24"/>
      <c r="M108" s="26"/>
    </row>
    <row r="109" spans="1:13" x14ac:dyDescent="0.3">
      <c r="A109" s="24" t="s">
        <v>17</v>
      </c>
      <c r="B109" s="24" t="s">
        <v>6</v>
      </c>
      <c r="C109" s="24" t="s">
        <v>31</v>
      </c>
      <c r="D109" s="24" t="s">
        <v>44</v>
      </c>
      <c r="E109" s="24" t="s">
        <v>58</v>
      </c>
      <c r="F109" s="25" t="s">
        <v>215</v>
      </c>
      <c r="G109" s="47">
        <v>48900</v>
      </c>
      <c r="H109" s="5" t="s">
        <v>48</v>
      </c>
      <c r="I109" s="5" t="s">
        <v>50</v>
      </c>
      <c r="J109" s="24" t="s">
        <v>52</v>
      </c>
      <c r="K109" s="28">
        <v>46191</v>
      </c>
      <c r="L109" s="24"/>
      <c r="M109" s="26"/>
    </row>
    <row r="110" spans="1:13" x14ac:dyDescent="0.3">
      <c r="A110" s="24" t="s">
        <v>17</v>
      </c>
      <c r="B110" s="24" t="s">
        <v>6</v>
      </c>
      <c r="C110" s="24" t="s">
        <v>25</v>
      </c>
      <c r="D110" s="24" t="s">
        <v>45</v>
      </c>
      <c r="E110" s="24" t="s">
        <v>58</v>
      </c>
      <c r="F110" s="25" t="s">
        <v>216</v>
      </c>
      <c r="G110" s="47">
        <v>20000</v>
      </c>
      <c r="H110" s="5" t="s">
        <v>48</v>
      </c>
      <c r="I110" s="5" t="s">
        <v>50</v>
      </c>
      <c r="J110" s="24" t="s">
        <v>52</v>
      </c>
      <c r="K110" s="28">
        <v>46196</v>
      </c>
      <c r="L110" s="24"/>
      <c r="M110" s="26"/>
    </row>
    <row r="111" spans="1:13" x14ac:dyDescent="0.3">
      <c r="A111" s="24" t="s">
        <v>17</v>
      </c>
      <c r="B111" s="24" t="s">
        <v>7</v>
      </c>
      <c r="C111" s="24" t="s">
        <v>32</v>
      </c>
      <c r="D111" s="24" t="s">
        <v>40</v>
      </c>
      <c r="E111" s="24" t="s">
        <v>58</v>
      </c>
      <c r="F111" s="25" t="s">
        <v>217</v>
      </c>
      <c r="G111" s="47">
        <v>72000</v>
      </c>
      <c r="H111" s="5" t="s">
        <v>48</v>
      </c>
      <c r="I111" s="5" t="s">
        <v>50</v>
      </c>
      <c r="J111" s="24" t="s">
        <v>52</v>
      </c>
      <c r="K111" s="28">
        <v>46197</v>
      </c>
      <c r="L111" s="24"/>
      <c r="M111" s="26"/>
    </row>
    <row r="112" spans="1:13" x14ac:dyDescent="0.3">
      <c r="A112" s="24" t="s">
        <v>14</v>
      </c>
      <c r="B112" s="24" t="s">
        <v>6</v>
      </c>
      <c r="C112" s="24" t="s">
        <v>33</v>
      </c>
      <c r="D112" s="24" t="s">
        <v>46</v>
      </c>
      <c r="E112" s="24" t="s">
        <v>57</v>
      </c>
      <c r="F112" s="25" t="s">
        <v>91</v>
      </c>
      <c r="G112" s="47">
        <v>142700</v>
      </c>
      <c r="H112" s="5" t="s">
        <v>47</v>
      </c>
      <c r="I112" s="5" t="s">
        <v>50</v>
      </c>
      <c r="J112" s="24" t="s">
        <v>53</v>
      </c>
      <c r="K112" s="28">
        <v>46176</v>
      </c>
      <c r="L112" s="24"/>
      <c r="M112" s="26" t="s">
        <v>161</v>
      </c>
    </row>
    <row r="113" spans="1:13" x14ac:dyDescent="0.3">
      <c r="A113" s="24" t="s">
        <v>14</v>
      </c>
      <c r="B113" s="24" t="s">
        <v>6</v>
      </c>
      <c r="C113" s="24" t="s">
        <v>33</v>
      </c>
      <c r="D113" s="24" t="s">
        <v>46</v>
      </c>
      <c r="E113" s="24" t="s">
        <v>57</v>
      </c>
      <c r="F113" s="25" t="s">
        <v>162</v>
      </c>
      <c r="G113" s="47">
        <v>622571</v>
      </c>
      <c r="H113" s="5" t="s">
        <v>47</v>
      </c>
      <c r="I113" s="5" t="s">
        <v>50</v>
      </c>
      <c r="J113" s="24" t="s">
        <v>53</v>
      </c>
      <c r="K113" s="28">
        <v>46178</v>
      </c>
      <c r="L113" s="24"/>
      <c r="M113" s="26" t="s">
        <v>163</v>
      </c>
    </row>
    <row r="114" spans="1:13" x14ac:dyDescent="0.3">
      <c r="A114" s="24" t="s">
        <v>14</v>
      </c>
      <c r="B114" s="24" t="s">
        <v>6</v>
      </c>
      <c r="C114" s="24" t="s">
        <v>32</v>
      </c>
      <c r="D114" s="24" t="s">
        <v>44</v>
      </c>
      <c r="E114" s="24" t="s">
        <v>58</v>
      </c>
      <c r="F114" s="25" t="s">
        <v>194</v>
      </c>
      <c r="G114" s="47">
        <v>173200</v>
      </c>
      <c r="H114" s="5" t="s">
        <v>47</v>
      </c>
      <c r="I114" s="5" t="s">
        <v>50</v>
      </c>
      <c r="J114" s="24" t="s">
        <v>53</v>
      </c>
      <c r="K114" s="28">
        <v>46176</v>
      </c>
      <c r="L114" s="24"/>
      <c r="M114" s="26" t="s">
        <v>160</v>
      </c>
    </row>
    <row r="115" spans="1:13" x14ac:dyDescent="0.3">
      <c r="A115" s="24" t="s">
        <v>14</v>
      </c>
      <c r="B115" s="24" t="s">
        <v>6</v>
      </c>
      <c r="C115" s="24" t="s">
        <v>32</v>
      </c>
      <c r="D115" s="24" t="s">
        <v>44</v>
      </c>
      <c r="E115" s="24" t="s">
        <v>58</v>
      </c>
      <c r="F115" s="25" t="s">
        <v>196</v>
      </c>
      <c r="G115" s="47">
        <v>588228</v>
      </c>
      <c r="H115" s="5" t="s">
        <v>48</v>
      </c>
      <c r="I115" s="5" t="s">
        <v>50</v>
      </c>
      <c r="J115" s="24" t="s">
        <v>53</v>
      </c>
      <c r="K115" s="28">
        <v>46181</v>
      </c>
      <c r="L115" s="24"/>
      <c r="M115" s="26" t="s">
        <v>167</v>
      </c>
    </row>
    <row r="116" spans="1:13" x14ac:dyDescent="0.3">
      <c r="A116" s="24" t="s">
        <v>14</v>
      </c>
      <c r="B116" s="24" t="s">
        <v>6</v>
      </c>
      <c r="C116" s="24" t="s">
        <v>32</v>
      </c>
      <c r="D116" s="24" t="s">
        <v>44</v>
      </c>
      <c r="E116" s="24" t="s">
        <v>58</v>
      </c>
      <c r="F116" s="25" t="s">
        <v>197</v>
      </c>
      <c r="G116" s="47">
        <v>139909</v>
      </c>
      <c r="H116" s="5" t="s">
        <v>48</v>
      </c>
      <c r="I116" s="5" t="s">
        <v>50</v>
      </c>
      <c r="J116" s="24" t="s">
        <v>53</v>
      </c>
      <c r="K116" s="28">
        <v>46181</v>
      </c>
      <c r="L116" s="24"/>
      <c r="M116" s="26" t="s">
        <v>167</v>
      </c>
    </row>
    <row r="117" spans="1:13" x14ac:dyDescent="0.3">
      <c r="A117" s="24" t="s">
        <v>14</v>
      </c>
      <c r="B117" s="24" t="s">
        <v>6</v>
      </c>
      <c r="C117" s="24" t="s">
        <v>31</v>
      </c>
      <c r="D117" s="24" t="s">
        <v>37</v>
      </c>
      <c r="E117" s="24" t="s">
        <v>57</v>
      </c>
      <c r="F117" s="25" t="s">
        <v>198</v>
      </c>
      <c r="G117" s="47">
        <v>1646000</v>
      </c>
      <c r="H117" s="5" t="s">
        <v>48</v>
      </c>
      <c r="I117" s="5" t="s">
        <v>50</v>
      </c>
      <c r="J117" s="24" t="s">
        <v>53</v>
      </c>
      <c r="K117" s="28">
        <v>46181</v>
      </c>
      <c r="L117" s="24"/>
      <c r="M117" s="26" t="s">
        <v>178</v>
      </c>
    </row>
    <row r="118" spans="1:13" x14ac:dyDescent="0.3">
      <c r="A118" s="24" t="s">
        <v>14</v>
      </c>
      <c r="B118" s="24" t="s">
        <v>6</v>
      </c>
      <c r="C118" s="24" t="s">
        <v>32</v>
      </c>
      <c r="D118" s="24" t="s">
        <v>44</v>
      </c>
      <c r="E118" s="24" t="s">
        <v>58</v>
      </c>
      <c r="F118" s="25" t="s">
        <v>197</v>
      </c>
      <c r="G118" s="47">
        <v>104294</v>
      </c>
      <c r="H118" s="5" t="s">
        <v>48</v>
      </c>
      <c r="I118" s="5" t="s">
        <v>50</v>
      </c>
      <c r="J118" s="24" t="s">
        <v>53</v>
      </c>
      <c r="K118" s="28">
        <v>46198</v>
      </c>
      <c r="L118" s="24"/>
      <c r="M118" s="26" t="s">
        <v>160</v>
      </c>
    </row>
    <row r="119" spans="1:13" x14ac:dyDescent="0.3">
      <c r="A119" s="24" t="s">
        <v>14</v>
      </c>
      <c r="B119" s="24" t="s">
        <v>6</v>
      </c>
      <c r="C119" s="24" t="s">
        <v>33</v>
      </c>
      <c r="D119" s="24" t="s">
        <v>40</v>
      </c>
      <c r="E119" s="24" t="s">
        <v>58</v>
      </c>
      <c r="F119" s="25" t="s">
        <v>246</v>
      </c>
      <c r="G119" s="47">
        <v>7000</v>
      </c>
      <c r="H119" s="5"/>
      <c r="I119" s="5"/>
      <c r="J119" s="24" t="s">
        <v>52</v>
      </c>
      <c r="K119" s="28">
        <v>46199</v>
      </c>
      <c r="L119" s="24"/>
      <c r="M119" s="26" t="s">
        <v>247</v>
      </c>
    </row>
    <row r="120" spans="1:13" x14ac:dyDescent="0.3">
      <c r="A120" s="24" t="s">
        <v>19</v>
      </c>
      <c r="B120" s="24" t="s">
        <v>6</v>
      </c>
      <c r="C120" s="24" t="s">
        <v>32</v>
      </c>
      <c r="D120" s="24" t="s">
        <v>44</v>
      </c>
      <c r="E120" s="24" t="s">
        <v>58</v>
      </c>
      <c r="F120" s="25" t="s">
        <v>203</v>
      </c>
      <c r="G120" s="47">
        <v>136500</v>
      </c>
      <c r="H120" s="5" t="s">
        <v>48</v>
      </c>
      <c r="I120" s="5" t="s">
        <v>50</v>
      </c>
      <c r="J120" s="24" t="s">
        <v>53</v>
      </c>
      <c r="K120" s="28">
        <v>46189</v>
      </c>
      <c r="L120" s="24"/>
      <c r="M120" s="26" t="s">
        <v>204</v>
      </c>
    </row>
    <row r="121" spans="1:13" x14ac:dyDescent="0.3">
      <c r="A121" s="24" t="s">
        <v>18</v>
      </c>
      <c r="B121" s="24" t="s">
        <v>6</v>
      </c>
      <c r="C121" s="24" t="s">
        <v>33</v>
      </c>
      <c r="D121" s="24" t="s">
        <v>46</v>
      </c>
      <c r="E121" s="24" t="s">
        <v>57</v>
      </c>
      <c r="F121" s="25" t="s">
        <v>91</v>
      </c>
      <c r="G121" s="47">
        <v>43200</v>
      </c>
      <c r="H121" s="5" t="s">
        <v>47</v>
      </c>
      <c r="I121" s="5" t="s">
        <v>50</v>
      </c>
      <c r="J121" s="24" t="s">
        <v>53</v>
      </c>
      <c r="K121" s="28">
        <v>46176</v>
      </c>
      <c r="L121" s="24"/>
      <c r="M121" s="26" t="s">
        <v>161</v>
      </c>
    </row>
    <row r="122" spans="1:13" x14ac:dyDescent="0.3">
      <c r="A122" s="24" t="s">
        <v>20</v>
      </c>
      <c r="B122" s="24" t="s">
        <v>6</v>
      </c>
      <c r="C122" s="24" t="s">
        <v>32</v>
      </c>
      <c r="D122" s="24" t="s">
        <v>44</v>
      </c>
      <c r="E122" s="24" t="s">
        <v>58</v>
      </c>
      <c r="F122" s="25" t="s">
        <v>159</v>
      </c>
      <c r="G122" s="47">
        <v>562800</v>
      </c>
      <c r="H122" s="5" t="s">
        <v>47</v>
      </c>
      <c r="I122" s="5" t="s">
        <v>50</v>
      </c>
      <c r="J122" s="24" t="s">
        <v>53</v>
      </c>
      <c r="K122" s="28">
        <v>46174</v>
      </c>
      <c r="L122" s="24"/>
      <c r="M122" s="26" t="s">
        <v>160</v>
      </c>
    </row>
    <row r="123" spans="1:13" x14ac:dyDescent="0.3">
      <c r="A123" s="24" t="s">
        <v>20</v>
      </c>
      <c r="B123" s="24" t="s">
        <v>6</v>
      </c>
      <c r="C123" s="24" t="s">
        <v>25</v>
      </c>
      <c r="D123" s="24" t="s">
        <v>45</v>
      </c>
      <c r="E123" s="24" t="s">
        <v>57</v>
      </c>
      <c r="F123" s="25" t="s">
        <v>164</v>
      </c>
      <c r="G123" s="47">
        <v>243863.05</v>
      </c>
      <c r="H123" s="5" t="s">
        <v>48</v>
      </c>
      <c r="I123" s="5" t="s">
        <v>50</v>
      </c>
      <c r="J123" s="24" t="s">
        <v>53</v>
      </c>
      <c r="K123" s="28">
        <v>46176</v>
      </c>
      <c r="L123" s="24"/>
      <c r="M123" s="26" t="s">
        <v>165</v>
      </c>
    </row>
    <row r="124" spans="1:13" x14ac:dyDescent="0.3">
      <c r="A124" s="24" t="s">
        <v>20</v>
      </c>
      <c r="B124" s="24" t="s">
        <v>6</v>
      </c>
      <c r="C124" s="24" t="s">
        <v>32</v>
      </c>
      <c r="D124" s="24" t="s">
        <v>44</v>
      </c>
      <c r="E124" s="24" t="s">
        <v>58</v>
      </c>
      <c r="F124" s="25" t="s">
        <v>168</v>
      </c>
      <c r="G124" s="47">
        <v>523530</v>
      </c>
      <c r="H124" s="5" t="s">
        <v>47</v>
      </c>
      <c r="I124" s="5" t="s">
        <v>50</v>
      </c>
      <c r="J124" s="24" t="s">
        <v>53</v>
      </c>
      <c r="K124" s="28">
        <v>46178</v>
      </c>
      <c r="L124" s="24"/>
      <c r="M124" s="26" t="s">
        <v>167</v>
      </c>
    </row>
    <row r="125" spans="1:13" x14ac:dyDescent="0.3">
      <c r="A125" s="24" t="s">
        <v>20</v>
      </c>
      <c r="B125" s="24" t="s">
        <v>7</v>
      </c>
      <c r="C125" s="24" t="s">
        <v>33</v>
      </c>
      <c r="D125" s="24" t="s">
        <v>40</v>
      </c>
      <c r="E125" s="24" t="s">
        <v>58</v>
      </c>
      <c r="F125" s="25" t="s">
        <v>169</v>
      </c>
      <c r="G125" s="47">
        <v>173500</v>
      </c>
      <c r="H125" s="5" t="s">
        <v>47</v>
      </c>
      <c r="I125" s="5" t="s">
        <v>50</v>
      </c>
      <c r="J125" s="24" t="s">
        <v>53</v>
      </c>
      <c r="K125" s="28">
        <v>46183</v>
      </c>
      <c r="L125" s="24"/>
      <c r="M125" s="26" t="s">
        <v>171</v>
      </c>
    </row>
    <row r="126" spans="1:13" x14ac:dyDescent="0.3">
      <c r="A126" s="24" t="s">
        <v>20</v>
      </c>
      <c r="B126" s="24" t="s">
        <v>7</v>
      </c>
      <c r="C126" s="24" t="s">
        <v>33</v>
      </c>
      <c r="D126" s="24" t="s">
        <v>40</v>
      </c>
      <c r="E126" s="24" t="s">
        <v>58</v>
      </c>
      <c r="F126" s="25" t="s">
        <v>172</v>
      </c>
      <c r="G126" s="47">
        <v>189000</v>
      </c>
      <c r="H126" s="5" t="s">
        <v>48</v>
      </c>
      <c r="I126" s="5" t="s">
        <v>50</v>
      </c>
      <c r="J126" s="24" t="s">
        <v>53</v>
      </c>
      <c r="K126" s="28">
        <v>46174</v>
      </c>
      <c r="L126" s="24"/>
      <c r="M126" s="26" t="s">
        <v>173</v>
      </c>
    </row>
    <row r="127" spans="1:13" x14ac:dyDescent="0.3">
      <c r="A127" s="24" t="s">
        <v>20</v>
      </c>
      <c r="B127" s="24" t="s">
        <v>6</v>
      </c>
      <c r="C127" s="24" t="s">
        <v>30</v>
      </c>
      <c r="D127" s="24" t="s">
        <v>41</v>
      </c>
      <c r="E127" s="24" t="s">
        <v>58</v>
      </c>
      <c r="F127" s="25" t="s">
        <v>174</v>
      </c>
      <c r="G127" s="47">
        <v>130000</v>
      </c>
      <c r="H127" s="5" t="s">
        <v>47</v>
      </c>
      <c r="I127" s="5" t="s">
        <v>50</v>
      </c>
      <c r="J127" s="24" t="s">
        <v>53</v>
      </c>
      <c r="K127" s="28">
        <v>46183</v>
      </c>
      <c r="L127" s="24"/>
      <c r="M127" s="26" t="s">
        <v>173</v>
      </c>
    </row>
    <row r="128" spans="1:13" x14ac:dyDescent="0.3">
      <c r="A128" s="24" t="s">
        <v>20</v>
      </c>
      <c r="B128" s="24" t="s">
        <v>6</v>
      </c>
      <c r="C128" s="24" t="s">
        <v>29</v>
      </c>
      <c r="D128" s="24" t="s">
        <v>43</v>
      </c>
      <c r="E128" s="24" t="s">
        <v>57</v>
      </c>
      <c r="F128" s="25" t="s">
        <v>175</v>
      </c>
      <c r="G128" s="47">
        <v>456500</v>
      </c>
      <c r="H128" s="5" t="s">
        <v>47</v>
      </c>
      <c r="I128" s="5" t="s">
        <v>50</v>
      </c>
      <c r="J128" s="24" t="s">
        <v>53</v>
      </c>
      <c r="K128" s="28">
        <v>46174</v>
      </c>
      <c r="L128" s="24"/>
      <c r="M128" s="26" t="s">
        <v>176</v>
      </c>
    </row>
    <row r="129" spans="1:13" x14ac:dyDescent="0.3">
      <c r="A129" s="24" t="s">
        <v>20</v>
      </c>
      <c r="B129" s="24" t="s">
        <v>6</v>
      </c>
      <c r="C129" s="24" t="s">
        <v>31</v>
      </c>
      <c r="D129" s="24" t="s">
        <v>37</v>
      </c>
      <c r="E129" s="24" t="s">
        <v>57</v>
      </c>
      <c r="F129" s="25" t="s">
        <v>177</v>
      </c>
      <c r="G129" s="47">
        <v>1234500</v>
      </c>
      <c r="H129" s="5" t="s">
        <v>48</v>
      </c>
      <c r="I129" s="5" t="s">
        <v>50</v>
      </c>
      <c r="J129" s="24" t="s">
        <v>53</v>
      </c>
      <c r="K129" s="28">
        <v>46175</v>
      </c>
      <c r="L129" s="24"/>
      <c r="M129" s="26" t="s">
        <v>178</v>
      </c>
    </row>
    <row r="130" spans="1:13" x14ac:dyDescent="0.3">
      <c r="A130" s="24" t="s">
        <v>20</v>
      </c>
      <c r="B130" s="24" t="s">
        <v>7</v>
      </c>
      <c r="C130" s="24" t="s">
        <v>31</v>
      </c>
      <c r="D130" s="24" t="s">
        <v>37</v>
      </c>
      <c r="E130" s="24" t="s">
        <v>57</v>
      </c>
      <c r="F130" s="25" t="s">
        <v>177</v>
      </c>
      <c r="G130" s="47">
        <v>1234500</v>
      </c>
      <c r="H130" s="5" t="s">
        <v>48</v>
      </c>
      <c r="I130" s="5" t="s">
        <v>50</v>
      </c>
      <c r="J130" s="24" t="s">
        <v>53</v>
      </c>
      <c r="K130" s="28">
        <v>46175</v>
      </c>
      <c r="L130" s="24"/>
      <c r="M130" s="26" t="s">
        <v>178</v>
      </c>
    </row>
    <row r="131" spans="1:13" x14ac:dyDescent="0.3">
      <c r="A131" s="24" t="s">
        <v>20</v>
      </c>
      <c r="B131" s="24" t="s">
        <v>6</v>
      </c>
      <c r="C131" s="24" t="s">
        <v>31</v>
      </c>
      <c r="D131" s="24" t="s">
        <v>37</v>
      </c>
      <c r="E131" s="24" t="s">
        <v>58</v>
      </c>
      <c r="F131" s="25" t="s">
        <v>180</v>
      </c>
      <c r="G131" s="47">
        <v>98580</v>
      </c>
      <c r="H131" s="5" t="s">
        <v>48</v>
      </c>
      <c r="I131" s="5" t="s">
        <v>50</v>
      </c>
      <c r="J131" s="24" t="s">
        <v>53</v>
      </c>
      <c r="K131" s="28">
        <v>46175</v>
      </c>
      <c r="L131" s="24"/>
      <c r="M131" s="26" t="s">
        <v>179</v>
      </c>
    </row>
    <row r="132" spans="1:13" x14ac:dyDescent="0.3">
      <c r="A132" s="24" t="s">
        <v>20</v>
      </c>
      <c r="B132" s="24" t="s">
        <v>6</v>
      </c>
      <c r="C132" s="24" t="s">
        <v>31</v>
      </c>
      <c r="D132" s="24" t="s">
        <v>43</v>
      </c>
      <c r="E132" s="24" t="s">
        <v>58</v>
      </c>
      <c r="F132" s="25" t="s">
        <v>181</v>
      </c>
      <c r="G132" s="47">
        <v>82000</v>
      </c>
      <c r="H132" s="5" t="s">
        <v>47</v>
      </c>
      <c r="I132" s="5" t="s">
        <v>50</v>
      </c>
      <c r="J132" s="24" t="s">
        <v>53</v>
      </c>
      <c r="K132" s="28">
        <v>46177</v>
      </c>
      <c r="L132" s="24"/>
      <c r="M132" s="26" t="s">
        <v>182</v>
      </c>
    </row>
    <row r="133" spans="1:13" x14ac:dyDescent="0.3">
      <c r="A133" s="24" t="s">
        <v>20</v>
      </c>
      <c r="B133" s="24" t="s">
        <v>6</v>
      </c>
      <c r="C133" s="24" t="s">
        <v>31</v>
      </c>
      <c r="D133" s="24" t="s">
        <v>37</v>
      </c>
      <c r="E133" s="24" t="s">
        <v>58</v>
      </c>
      <c r="F133" s="25" t="s">
        <v>185</v>
      </c>
      <c r="G133" s="47">
        <v>306749</v>
      </c>
      <c r="H133" s="5" t="s">
        <v>47</v>
      </c>
      <c r="I133" s="5" t="s">
        <v>50</v>
      </c>
      <c r="J133" s="24" t="s">
        <v>53</v>
      </c>
      <c r="K133" s="28">
        <v>46183</v>
      </c>
      <c r="L133" s="24"/>
      <c r="M133" s="26" t="s">
        <v>186</v>
      </c>
    </row>
    <row r="134" spans="1:13" x14ac:dyDescent="0.3">
      <c r="A134" s="24" t="s">
        <v>20</v>
      </c>
      <c r="B134" s="24" t="s">
        <v>6</v>
      </c>
      <c r="C134" s="24" t="s">
        <v>33</v>
      </c>
      <c r="D134" s="24" t="s">
        <v>41</v>
      </c>
      <c r="E134" s="24" t="s">
        <v>58</v>
      </c>
      <c r="F134" s="25" t="s">
        <v>187</v>
      </c>
      <c r="G134" s="47">
        <v>49500</v>
      </c>
      <c r="H134" s="5" t="s">
        <v>48</v>
      </c>
      <c r="I134" s="5" t="s">
        <v>50</v>
      </c>
      <c r="J134" s="24" t="s">
        <v>53</v>
      </c>
      <c r="K134" s="28">
        <v>46184</v>
      </c>
      <c r="L134" s="24"/>
      <c r="M134" s="26" t="s">
        <v>189</v>
      </c>
    </row>
    <row r="135" spans="1:13" x14ac:dyDescent="0.3">
      <c r="A135" s="24" t="s">
        <v>20</v>
      </c>
      <c r="B135" s="24" t="s">
        <v>6</v>
      </c>
      <c r="C135" s="24" t="s">
        <v>33</v>
      </c>
      <c r="D135" s="24" t="s">
        <v>41</v>
      </c>
      <c r="E135" s="24" t="s">
        <v>58</v>
      </c>
      <c r="F135" s="25" t="s">
        <v>188</v>
      </c>
      <c r="G135" s="47">
        <v>126000</v>
      </c>
      <c r="H135" s="5" t="s">
        <v>47</v>
      </c>
      <c r="I135" s="5" t="s">
        <v>50</v>
      </c>
      <c r="J135" s="24" t="s">
        <v>53</v>
      </c>
      <c r="K135" s="28">
        <v>46184</v>
      </c>
      <c r="L135" s="24"/>
      <c r="M135" s="26" t="s">
        <v>189</v>
      </c>
    </row>
    <row r="136" spans="1:13" x14ac:dyDescent="0.3">
      <c r="A136" s="24" t="s">
        <v>20</v>
      </c>
      <c r="B136" s="24" t="s">
        <v>6</v>
      </c>
      <c r="C136" s="24" t="s">
        <v>25</v>
      </c>
      <c r="D136" s="24" t="s">
        <v>45</v>
      </c>
      <c r="E136" s="24" t="s">
        <v>58</v>
      </c>
      <c r="F136" s="25" t="s">
        <v>190</v>
      </c>
      <c r="G136" s="47">
        <v>48000</v>
      </c>
      <c r="H136" s="5" t="s">
        <v>48</v>
      </c>
      <c r="I136" s="5" t="s">
        <v>50</v>
      </c>
      <c r="J136" s="24" t="s">
        <v>53</v>
      </c>
      <c r="K136" s="28">
        <v>46187</v>
      </c>
      <c r="L136" s="24"/>
      <c r="M136" s="26" t="s">
        <v>191</v>
      </c>
    </row>
    <row r="137" spans="1:13" x14ac:dyDescent="0.3">
      <c r="A137" s="24" t="s">
        <v>20</v>
      </c>
      <c r="B137" s="24" t="s">
        <v>7</v>
      </c>
      <c r="C137" s="24" t="s">
        <v>32</v>
      </c>
      <c r="D137" s="24" t="s">
        <v>40</v>
      </c>
      <c r="E137" s="24" t="s">
        <v>57</v>
      </c>
      <c r="F137" s="25" t="s">
        <v>192</v>
      </c>
      <c r="G137" s="47">
        <v>250000</v>
      </c>
      <c r="H137" s="5" t="s">
        <v>48</v>
      </c>
      <c r="I137" s="5" t="s">
        <v>50</v>
      </c>
      <c r="J137" s="24" t="s">
        <v>53</v>
      </c>
      <c r="K137" s="28">
        <v>46175</v>
      </c>
      <c r="L137" s="24"/>
      <c r="M137" s="26" t="s">
        <v>193</v>
      </c>
    </row>
    <row r="138" spans="1:13" x14ac:dyDescent="0.3">
      <c r="A138" s="24" t="s">
        <v>20</v>
      </c>
      <c r="B138" s="24" t="s">
        <v>6</v>
      </c>
      <c r="C138" s="24" t="s">
        <v>30</v>
      </c>
      <c r="D138" s="24" t="s">
        <v>41</v>
      </c>
      <c r="E138" s="24" t="s">
        <v>58</v>
      </c>
      <c r="F138" s="25" t="s">
        <v>202</v>
      </c>
      <c r="G138" s="47">
        <v>197377</v>
      </c>
      <c r="H138" s="5" t="s">
        <v>48</v>
      </c>
      <c r="I138" s="5" t="s">
        <v>50</v>
      </c>
      <c r="J138" s="24" t="s">
        <v>53</v>
      </c>
      <c r="K138" s="28">
        <v>46189</v>
      </c>
      <c r="L138" s="24"/>
      <c r="M138" s="26" t="s">
        <v>179</v>
      </c>
    </row>
    <row r="139" spans="1:13" x14ac:dyDescent="0.3">
      <c r="A139" s="24" t="s">
        <v>20</v>
      </c>
      <c r="B139" s="24" t="s">
        <v>6</v>
      </c>
      <c r="C139" s="24" t="s">
        <v>32</v>
      </c>
      <c r="D139" s="24" t="s">
        <v>44</v>
      </c>
      <c r="E139" s="24" t="s">
        <v>58</v>
      </c>
      <c r="F139" s="25" t="s">
        <v>208</v>
      </c>
      <c r="G139" s="47">
        <v>688669</v>
      </c>
      <c r="H139" s="5" t="s">
        <v>47</v>
      </c>
      <c r="I139" s="5" t="s">
        <v>50</v>
      </c>
      <c r="J139" s="24" t="s">
        <v>53</v>
      </c>
      <c r="K139" s="28">
        <v>46197</v>
      </c>
      <c r="L139" s="24"/>
      <c r="M139" s="26"/>
    </row>
    <row r="140" spans="1:13" x14ac:dyDescent="0.3">
      <c r="A140" s="24" t="s">
        <v>20</v>
      </c>
      <c r="B140" s="24" t="s">
        <v>6</v>
      </c>
      <c r="C140" s="24" t="s">
        <v>32</v>
      </c>
      <c r="D140" s="24" t="s">
        <v>44</v>
      </c>
      <c r="E140" s="24" t="s">
        <v>58</v>
      </c>
      <c r="F140" s="25" t="s">
        <v>209</v>
      </c>
      <c r="G140" s="47">
        <f>147800+8910</f>
        <v>156710</v>
      </c>
      <c r="H140" s="5" t="s">
        <v>47</v>
      </c>
      <c r="I140" s="5" t="s">
        <v>50</v>
      </c>
      <c r="J140" s="24" t="s">
        <v>53</v>
      </c>
      <c r="K140" s="28">
        <v>46196</v>
      </c>
      <c r="L140" s="24"/>
      <c r="M140" s="26"/>
    </row>
    <row r="141" spans="1:13" x14ac:dyDescent="0.3">
      <c r="A141" s="24" t="s">
        <v>20</v>
      </c>
      <c r="B141" s="24" t="s">
        <v>6</v>
      </c>
      <c r="C141" s="24" t="s">
        <v>23</v>
      </c>
      <c r="D141" s="24" t="s">
        <v>45</v>
      </c>
      <c r="E141" s="24" t="s">
        <v>58</v>
      </c>
      <c r="F141" s="25" t="s">
        <v>214</v>
      </c>
      <c r="G141" s="47">
        <v>148518</v>
      </c>
      <c r="H141" s="5" t="s">
        <v>47</v>
      </c>
      <c r="I141" s="5" t="s">
        <v>50</v>
      </c>
      <c r="J141" s="24" t="s">
        <v>53</v>
      </c>
      <c r="K141" s="28">
        <v>46199</v>
      </c>
      <c r="L141" s="24"/>
      <c r="M141" s="26"/>
    </row>
    <row r="142" spans="1:13" x14ac:dyDescent="0.3">
      <c r="A142" s="24" t="s">
        <v>20</v>
      </c>
      <c r="B142" s="24" t="s">
        <v>6</v>
      </c>
      <c r="C142" s="24" t="s">
        <v>23</v>
      </c>
      <c r="D142" s="24" t="s">
        <v>45</v>
      </c>
      <c r="E142" s="24" t="s">
        <v>58</v>
      </c>
      <c r="F142" s="25" t="s">
        <v>218</v>
      </c>
      <c r="G142" s="47">
        <v>35000</v>
      </c>
      <c r="H142" s="5" t="s">
        <v>48</v>
      </c>
      <c r="I142" s="5" t="s">
        <v>50</v>
      </c>
      <c r="J142" s="24" t="s">
        <v>52</v>
      </c>
      <c r="K142" s="28">
        <v>46197</v>
      </c>
      <c r="L142" s="24"/>
      <c r="M142" s="26"/>
    </row>
    <row r="143" spans="1:13" x14ac:dyDescent="0.3">
      <c r="A143" s="24" t="s">
        <v>20</v>
      </c>
      <c r="B143" s="24" t="s">
        <v>7</v>
      </c>
      <c r="C143" s="24" t="s">
        <v>33</v>
      </c>
      <c r="D143" s="24" t="s">
        <v>40</v>
      </c>
      <c r="E143" s="24" t="s">
        <v>57</v>
      </c>
      <c r="F143" s="51" t="s">
        <v>219</v>
      </c>
      <c r="G143" s="47">
        <v>15000</v>
      </c>
      <c r="H143" s="5" t="s">
        <v>48</v>
      </c>
      <c r="I143" s="5" t="s">
        <v>50</v>
      </c>
      <c r="J143" s="24" t="s">
        <v>52</v>
      </c>
      <c r="K143" s="28">
        <v>46199</v>
      </c>
      <c r="L143" s="24"/>
      <c r="M143" s="26"/>
    </row>
    <row r="144" spans="1:13" x14ac:dyDescent="0.3">
      <c r="A144" s="24" t="s">
        <v>20</v>
      </c>
      <c r="B144" s="24" t="s">
        <v>7</v>
      </c>
      <c r="C144" s="24" t="s">
        <v>29</v>
      </c>
      <c r="D144" s="24" t="s">
        <v>40</v>
      </c>
      <c r="E144" s="24" t="s">
        <v>60</v>
      </c>
      <c r="F144" s="51" t="s">
        <v>220</v>
      </c>
      <c r="G144" s="47">
        <v>26500</v>
      </c>
      <c r="H144" s="5" t="s">
        <v>48</v>
      </c>
      <c r="I144" s="5" t="s">
        <v>50</v>
      </c>
      <c r="J144" s="24" t="s">
        <v>52</v>
      </c>
      <c r="K144" s="28">
        <v>46199</v>
      </c>
      <c r="L144" s="24"/>
      <c r="M144" s="26"/>
    </row>
    <row r="145" spans="1:13" x14ac:dyDescent="0.3">
      <c r="A145" s="24" t="s">
        <v>20</v>
      </c>
      <c r="B145" s="24" t="s">
        <v>6</v>
      </c>
      <c r="C145" s="24" t="s">
        <v>23</v>
      </c>
      <c r="D145" s="24" t="s">
        <v>45</v>
      </c>
      <c r="E145" s="24" t="s">
        <v>57</v>
      </c>
      <c r="F145" s="51" t="s">
        <v>221</v>
      </c>
      <c r="G145" s="47">
        <v>11925</v>
      </c>
      <c r="H145" s="5" t="s">
        <v>48</v>
      </c>
      <c r="I145" s="5" t="s">
        <v>50</v>
      </c>
      <c r="J145" s="24" t="s">
        <v>52</v>
      </c>
      <c r="K145" s="28">
        <v>46191</v>
      </c>
      <c r="L145" s="24"/>
      <c r="M145" s="26"/>
    </row>
    <row r="146" spans="1:13" ht="25.8" customHeight="1" x14ac:dyDescent="0.3">
      <c r="A146" s="24" t="s">
        <v>20</v>
      </c>
      <c r="B146" s="24" t="s">
        <v>6</v>
      </c>
      <c r="C146" s="24" t="s">
        <v>33</v>
      </c>
      <c r="D146" s="24" t="s">
        <v>40</v>
      </c>
      <c r="E146" s="24" t="s">
        <v>58</v>
      </c>
      <c r="F146" s="51" t="s">
        <v>222</v>
      </c>
      <c r="G146" s="47">
        <v>7500</v>
      </c>
      <c r="H146" s="5" t="s">
        <v>48</v>
      </c>
      <c r="I146" s="5" t="s">
        <v>50</v>
      </c>
      <c r="J146" s="24" t="s">
        <v>52</v>
      </c>
      <c r="K146" s="28">
        <v>46196</v>
      </c>
      <c r="L146" s="24"/>
      <c r="M146" s="26"/>
    </row>
    <row r="147" spans="1:13" x14ac:dyDescent="0.3">
      <c r="A147" s="24" t="s">
        <v>20</v>
      </c>
      <c r="B147" s="24" t="s">
        <v>6</v>
      </c>
      <c r="C147" s="24" t="s">
        <v>25</v>
      </c>
      <c r="D147" s="24" t="s">
        <v>45</v>
      </c>
      <c r="E147" s="24" t="s">
        <v>58</v>
      </c>
      <c r="F147" s="51" t="s">
        <v>223</v>
      </c>
      <c r="G147" s="47">
        <v>26000</v>
      </c>
      <c r="H147" s="5" t="s">
        <v>48</v>
      </c>
      <c r="I147" s="5" t="s">
        <v>50</v>
      </c>
      <c r="J147" s="24" t="s">
        <v>52</v>
      </c>
      <c r="K147" s="28">
        <v>46197</v>
      </c>
      <c r="L147" s="24"/>
      <c r="M147" s="26"/>
    </row>
    <row r="148" spans="1:13" x14ac:dyDescent="0.3">
      <c r="A148" s="24" t="s">
        <v>20</v>
      </c>
      <c r="B148" s="24" t="s">
        <v>6</v>
      </c>
      <c r="C148" s="24" t="s">
        <v>29</v>
      </c>
      <c r="D148" s="24" t="s">
        <v>43</v>
      </c>
      <c r="E148" s="24" t="s">
        <v>58</v>
      </c>
      <c r="F148" s="51" t="s">
        <v>224</v>
      </c>
      <c r="G148" s="47">
        <v>10000</v>
      </c>
      <c r="H148" s="5" t="s">
        <v>48</v>
      </c>
      <c r="I148" s="5" t="s">
        <v>50</v>
      </c>
      <c r="J148" s="24" t="s">
        <v>52</v>
      </c>
      <c r="K148" s="28">
        <v>46197</v>
      </c>
      <c r="L148" s="24"/>
      <c r="M148" s="26"/>
    </row>
    <row r="149" spans="1:13" x14ac:dyDescent="0.3">
      <c r="A149" s="24" t="s">
        <v>20</v>
      </c>
      <c r="B149" s="24" t="s">
        <v>6</v>
      </c>
      <c r="C149" s="24" t="s">
        <v>23</v>
      </c>
      <c r="D149" s="24" t="s">
        <v>45</v>
      </c>
      <c r="E149" s="24" t="s">
        <v>58</v>
      </c>
      <c r="F149" s="51" t="s">
        <v>225</v>
      </c>
      <c r="G149" s="47">
        <v>90000</v>
      </c>
      <c r="H149" s="5" t="s">
        <v>48</v>
      </c>
      <c r="I149" s="5" t="s">
        <v>50</v>
      </c>
      <c r="J149" s="24" t="s">
        <v>52</v>
      </c>
      <c r="K149" s="28">
        <v>46199</v>
      </c>
      <c r="L149" s="24"/>
      <c r="M149" s="26"/>
    </row>
    <row r="150" spans="1:13" x14ac:dyDescent="0.3">
      <c r="A150" s="24" t="s">
        <v>20</v>
      </c>
      <c r="B150" s="24" t="s">
        <v>7</v>
      </c>
      <c r="C150" s="24" t="s">
        <v>33</v>
      </c>
      <c r="D150" s="24" t="s">
        <v>40</v>
      </c>
      <c r="E150" s="24" t="s">
        <v>58</v>
      </c>
      <c r="F150" s="51" t="s">
        <v>226</v>
      </c>
      <c r="G150" s="47">
        <v>15000</v>
      </c>
      <c r="H150" s="5" t="s">
        <v>48</v>
      </c>
      <c r="I150" s="5" t="s">
        <v>50</v>
      </c>
      <c r="J150" s="24" t="s">
        <v>52</v>
      </c>
      <c r="K150" s="28">
        <v>46199</v>
      </c>
      <c r="L150" s="24"/>
      <c r="M150" s="26"/>
    </row>
    <row r="151" spans="1:13" x14ac:dyDescent="0.3">
      <c r="A151" s="24" t="s">
        <v>20</v>
      </c>
      <c r="B151" s="24" t="s">
        <v>6</v>
      </c>
      <c r="C151" s="24" t="s">
        <v>25</v>
      </c>
      <c r="D151" s="24" t="s">
        <v>37</v>
      </c>
      <c r="E151" s="24" t="s">
        <v>58</v>
      </c>
      <c r="F151" s="51" t="s">
        <v>227</v>
      </c>
      <c r="G151" s="47">
        <v>36000</v>
      </c>
      <c r="H151" s="5" t="s">
        <v>48</v>
      </c>
      <c r="I151" s="5" t="s">
        <v>50</v>
      </c>
      <c r="J151" s="24" t="s">
        <v>52</v>
      </c>
      <c r="K151" s="28">
        <v>46191</v>
      </c>
      <c r="L151" s="24"/>
      <c r="M151" s="26"/>
    </row>
    <row r="152" spans="1:13" x14ac:dyDescent="0.3">
      <c r="A152" s="24" t="s">
        <v>20</v>
      </c>
      <c r="B152" s="24" t="s">
        <v>6</v>
      </c>
      <c r="C152" s="24" t="s">
        <v>23</v>
      </c>
      <c r="D152" s="24" t="s">
        <v>45</v>
      </c>
      <c r="E152" s="24" t="s">
        <v>58</v>
      </c>
      <c r="F152" s="51" t="s">
        <v>228</v>
      </c>
      <c r="G152" s="47">
        <v>60000</v>
      </c>
      <c r="H152" s="5" t="s">
        <v>48</v>
      </c>
      <c r="I152" s="5" t="s">
        <v>50</v>
      </c>
      <c r="J152" s="24" t="s">
        <v>52</v>
      </c>
      <c r="K152" s="28">
        <v>46196</v>
      </c>
      <c r="L152" s="24"/>
      <c r="M152" s="26"/>
    </row>
    <row r="153" spans="1:13" x14ac:dyDescent="0.3">
      <c r="A153" s="24" t="s">
        <v>20</v>
      </c>
      <c r="B153" s="24" t="s">
        <v>6</v>
      </c>
      <c r="C153" s="24" t="s">
        <v>31</v>
      </c>
      <c r="D153" s="24" t="s">
        <v>40</v>
      </c>
      <c r="E153" s="24" t="s">
        <v>57</v>
      </c>
      <c r="F153" s="51" t="s">
        <v>229</v>
      </c>
      <c r="G153" s="47">
        <v>50000</v>
      </c>
      <c r="H153" s="5" t="s">
        <v>48</v>
      </c>
      <c r="I153" s="5" t="s">
        <v>50</v>
      </c>
      <c r="J153" s="24" t="s">
        <v>52</v>
      </c>
      <c r="K153" s="28">
        <v>46197</v>
      </c>
      <c r="L153" s="24"/>
      <c r="M153" s="26"/>
    </row>
    <row r="154" spans="1:13" x14ac:dyDescent="0.3">
      <c r="A154" s="24" t="s">
        <v>20</v>
      </c>
      <c r="B154" s="24" t="s">
        <v>6</v>
      </c>
      <c r="C154" s="24" t="s">
        <v>23</v>
      </c>
      <c r="D154" s="24" t="s">
        <v>37</v>
      </c>
      <c r="E154" s="24" t="s">
        <v>58</v>
      </c>
      <c r="F154" s="51" t="s">
        <v>230</v>
      </c>
      <c r="G154" s="47">
        <v>65000</v>
      </c>
      <c r="H154" s="5" t="s">
        <v>48</v>
      </c>
      <c r="I154" s="5" t="s">
        <v>50</v>
      </c>
      <c r="J154" s="24" t="s">
        <v>52</v>
      </c>
      <c r="K154" s="28">
        <v>46197</v>
      </c>
      <c r="L154" s="24"/>
      <c r="M154" s="26"/>
    </row>
    <row r="155" spans="1:13" x14ac:dyDescent="0.3">
      <c r="A155" s="24" t="s">
        <v>20</v>
      </c>
      <c r="B155" s="24" t="s">
        <v>6</v>
      </c>
      <c r="C155" s="24" t="s">
        <v>23</v>
      </c>
      <c r="D155" s="24" t="s">
        <v>45</v>
      </c>
      <c r="E155" s="24" t="s">
        <v>58</v>
      </c>
      <c r="F155" s="51" t="s">
        <v>231</v>
      </c>
      <c r="G155" s="47">
        <v>70000</v>
      </c>
      <c r="H155" s="5"/>
      <c r="I155" s="5" t="s">
        <v>50</v>
      </c>
      <c r="J155" s="24" t="s">
        <v>52</v>
      </c>
      <c r="K155" s="28">
        <v>46199</v>
      </c>
      <c r="L155" s="24"/>
      <c r="M155" s="26"/>
    </row>
    <row r="156" spans="1:13" ht="27" customHeight="1" x14ac:dyDescent="0.3">
      <c r="A156" s="24" t="s">
        <v>20</v>
      </c>
      <c r="B156" s="24" t="s">
        <v>6</v>
      </c>
      <c r="C156" s="24" t="s">
        <v>27</v>
      </c>
      <c r="D156" s="24" t="s">
        <v>45</v>
      </c>
      <c r="E156" s="24" t="s">
        <v>58</v>
      </c>
      <c r="F156" s="51" t="s">
        <v>232</v>
      </c>
      <c r="G156" s="47">
        <v>30000</v>
      </c>
      <c r="H156" s="5"/>
      <c r="I156" s="5" t="s">
        <v>50</v>
      </c>
      <c r="J156" s="24" t="s">
        <v>52</v>
      </c>
      <c r="K156" s="28">
        <v>46199</v>
      </c>
      <c r="L156" s="24"/>
      <c r="M156" s="26"/>
    </row>
    <row r="157" spans="1:13" x14ac:dyDescent="0.3">
      <c r="A157" s="24" t="s">
        <v>20</v>
      </c>
      <c r="B157" s="24" t="s">
        <v>7</v>
      </c>
      <c r="C157" s="24" t="s">
        <v>23</v>
      </c>
      <c r="D157" s="24" t="s">
        <v>40</v>
      </c>
      <c r="E157" s="24" t="s">
        <v>58</v>
      </c>
      <c r="F157" s="51" t="s">
        <v>233</v>
      </c>
      <c r="G157" s="47">
        <v>34000</v>
      </c>
      <c r="H157" s="5"/>
      <c r="I157" s="5" t="s">
        <v>50</v>
      </c>
      <c r="J157" s="24" t="s">
        <v>52</v>
      </c>
      <c r="K157" s="28">
        <v>46191</v>
      </c>
      <c r="L157" s="24"/>
      <c r="M157" s="26"/>
    </row>
    <row r="158" spans="1:13" x14ac:dyDescent="0.3">
      <c r="A158" s="24" t="s">
        <v>20</v>
      </c>
      <c r="B158" s="24" t="s">
        <v>7</v>
      </c>
      <c r="C158" s="24" t="s">
        <v>30</v>
      </c>
      <c r="D158" s="24" t="s">
        <v>40</v>
      </c>
      <c r="E158" s="24" t="s">
        <v>58</v>
      </c>
      <c r="F158" s="51" t="s">
        <v>234</v>
      </c>
      <c r="G158" s="47">
        <v>61000</v>
      </c>
      <c r="H158" s="5"/>
      <c r="I158" s="5" t="s">
        <v>50</v>
      </c>
      <c r="J158" s="24" t="s">
        <v>52</v>
      </c>
      <c r="K158" s="28">
        <v>46199</v>
      </c>
      <c r="L158" s="24"/>
      <c r="M158" s="26"/>
    </row>
    <row r="159" spans="1:13" x14ac:dyDescent="0.3">
      <c r="A159" s="24" t="s">
        <v>20</v>
      </c>
      <c r="B159" s="24" t="s">
        <v>7</v>
      </c>
      <c r="C159" s="24" t="s">
        <v>30</v>
      </c>
      <c r="D159" s="24" t="s">
        <v>40</v>
      </c>
      <c r="E159" s="24" t="s">
        <v>58</v>
      </c>
      <c r="F159" s="51" t="s">
        <v>235</v>
      </c>
      <c r="G159" s="47">
        <v>36000</v>
      </c>
      <c r="H159" s="5"/>
      <c r="I159" s="5" t="s">
        <v>50</v>
      </c>
      <c r="J159" s="24" t="s">
        <v>52</v>
      </c>
      <c r="K159" s="28">
        <v>46199</v>
      </c>
      <c r="L159" s="24"/>
      <c r="M159" s="26"/>
    </row>
    <row r="160" spans="1:13" x14ac:dyDescent="0.3">
      <c r="A160" s="24" t="s">
        <v>20</v>
      </c>
      <c r="B160" s="24" t="s">
        <v>7</v>
      </c>
      <c r="C160" s="24"/>
      <c r="D160" s="24"/>
      <c r="E160" s="24" t="s">
        <v>58</v>
      </c>
      <c r="F160" s="51" t="s">
        <v>236</v>
      </c>
      <c r="G160" s="47">
        <v>30000</v>
      </c>
      <c r="H160" s="5"/>
      <c r="I160" s="5" t="s">
        <v>50</v>
      </c>
      <c r="J160" s="24" t="s">
        <v>52</v>
      </c>
      <c r="K160" s="28">
        <v>46191</v>
      </c>
      <c r="L160" s="24"/>
      <c r="M160" s="26"/>
    </row>
    <row r="161" spans="1:13" ht="15" x14ac:dyDescent="0.3">
      <c r="A161" s="24" t="s">
        <v>21</v>
      </c>
      <c r="B161" s="24" t="s">
        <v>6</v>
      </c>
      <c r="C161" s="24" t="s">
        <v>25</v>
      </c>
      <c r="D161" s="24" t="s">
        <v>45</v>
      </c>
      <c r="E161" s="24" t="s">
        <v>57</v>
      </c>
      <c r="F161" s="25" t="s">
        <v>164</v>
      </c>
      <c r="G161" s="47">
        <v>82433</v>
      </c>
      <c r="H161" s="5" t="s">
        <v>48</v>
      </c>
      <c r="I161" s="5" t="s">
        <v>50</v>
      </c>
      <c r="J161" s="24" t="s">
        <v>53</v>
      </c>
      <c r="K161" s="28">
        <v>46174</v>
      </c>
      <c r="L161" s="24"/>
      <c r="M161" s="26" t="s">
        <v>165</v>
      </c>
    </row>
    <row r="162" spans="1:13" ht="15" x14ac:dyDescent="0.3">
      <c r="A162" s="24" t="s">
        <v>21</v>
      </c>
      <c r="B162" s="24" t="s">
        <v>7</v>
      </c>
      <c r="C162" s="24" t="s">
        <v>31</v>
      </c>
      <c r="D162" s="24" t="s">
        <v>40</v>
      </c>
      <c r="E162" s="24" t="s">
        <v>58</v>
      </c>
      <c r="F162" s="25" t="s">
        <v>170</v>
      </c>
      <c r="G162" s="47">
        <v>590000</v>
      </c>
      <c r="H162" s="5" t="s">
        <v>47</v>
      </c>
      <c r="I162" s="5" t="s">
        <v>50</v>
      </c>
      <c r="J162" s="24" t="s">
        <v>53</v>
      </c>
      <c r="K162" s="28">
        <v>46184</v>
      </c>
      <c r="L162" s="24"/>
      <c r="M162" s="26" t="s">
        <v>171</v>
      </c>
    </row>
    <row r="163" spans="1:13" ht="15" x14ac:dyDescent="0.3">
      <c r="A163" s="24" t="s">
        <v>21</v>
      </c>
      <c r="B163" s="24" t="s">
        <v>6</v>
      </c>
      <c r="C163" s="24" t="s">
        <v>31</v>
      </c>
      <c r="D163" s="24" t="s">
        <v>37</v>
      </c>
      <c r="E163" s="24" t="s">
        <v>58</v>
      </c>
      <c r="F163" s="25" t="s">
        <v>183</v>
      </c>
      <c r="G163" s="47">
        <v>584325</v>
      </c>
      <c r="H163" s="5" t="s">
        <v>48</v>
      </c>
      <c r="I163" s="5" t="s">
        <v>50</v>
      </c>
      <c r="J163" s="24" t="s">
        <v>53</v>
      </c>
      <c r="K163" s="28">
        <v>46177</v>
      </c>
      <c r="L163" s="24"/>
      <c r="M163" s="26" t="s">
        <v>182</v>
      </c>
    </row>
    <row r="164" spans="1:13" ht="30" x14ac:dyDescent="0.3">
      <c r="A164" s="24" t="s">
        <v>21</v>
      </c>
      <c r="B164" s="24" t="s">
        <v>6</v>
      </c>
      <c r="C164" s="24" t="s">
        <v>30</v>
      </c>
      <c r="D164" s="24" t="s">
        <v>41</v>
      </c>
      <c r="E164" s="24" t="s">
        <v>57</v>
      </c>
      <c r="F164" s="25" t="s">
        <v>184</v>
      </c>
      <c r="G164" s="47">
        <v>120000</v>
      </c>
      <c r="H164" s="5" t="s">
        <v>48</v>
      </c>
      <c r="I164" s="5" t="s">
        <v>50</v>
      </c>
      <c r="J164" s="24" t="s">
        <v>53</v>
      </c>
      <c r="K164" s="28">
        <v>46177</v>
      </c>
      <c r="L164" s="24"/>
      <c r="M164" s="26" t="s">
        <v>182</v>
      </c>
    </row>
    <row r="165" spans="1:13" ht="15" x14ac:dyDescent="0.3">
      <c r="A165" s="24" t="s">
        <v>21</v>
      </c>
      <c r="B165" s="24" t="s">
        <v>7</v>
      </c>
      <c r="C165" s="24" t="s">
        <v>31</v>
      </c>
      <c r="D165" s="24" t="s">
        <v>37</v>
      </c>
      <c r="E165" s="24" t="s">
        <v>57</v>
      </c>
      <c r="F165" s="25" t="s">
        <v>198</v>
      </c>
      <c r="G165" s="47">
        <v>823000</v>
      </c>
      <c r="H165" s="5" t="s">
        <v>48</v>
      </c>
      <c r="I165" s="5" t="s">
        <v>50</v>
      </c>
      <c r="J165" s="24" t="s">
        <v>53</v>
      </c>
      <c r="K165" s="28">
        <v>46181</v>
      </c>
      <c r="L165" s="24"/>
      <c r="M165" s="26" t="s">
        <v>178</v>
      </c>
    </row>
    <row r="166" spans="1:13" ht="15" x14ac:dyDescent="0.3">
      <c r="A166" s="24" t="s">
        <v>21</v>
      </c>
      <c r="B166" s="24" t="s">
        <v>6</v>
      </c>
      <c r="C166" s="24" t="s">
        <v>31</v>
      </c>
      <c r="D166" s="24" t="s">
        <v>37</v>
      </c>
      <c r="E166" s="24" t="s">
        <v>57</v>
      </c>
      <c r="F166" s="25" t="s">
        <v>198</v>
      </c>
      <c r="G166" s="47">
        <v>1646000</v>
      </c>
      <c r="H166" s="5" t="s">
        <v>48</v>
      </c>
      <c r="I166" s="5" t="s">
        <v>50</v>
      </c>
      <c r="J166" s="24" t="s">
        <v>53</v>
      </c>
      <c r="K166" s="28">
        <v>46181</v>
      </c>
      <c r="L166" s="24"/>
      <c r="M166" s="26" t="s">
        <v>178</v>
      </c>
    </row>
    <row r="167" spans="1:13" ht="15" x14ac:dyDescent="0.3">
      <c r="A167" s="24" t="s">
        <v>21</v>
      </c>
      <c r="B167" s="24" t="s">
        <v>6</v>
      </c>
      <c r="C167" s="24" t="s">
        <v>30</v>
      </c>
      <c r="D167" s="24" t="s">
        <v>41</v>
      </c>
      <c r="E167" s="24" t="s">
        <v>57</v>
      </c>
      <c r="F167" s="25" t="s">
        <v>200</v>
      </c>
      <c r="G167" s="47">
        <v>805775</v>
      </c>
      <c r="H167" s="5" t="s">
        <v>48</v>
      </c>
      <c r="I167" s="5" t="s">
        <v>50</v>
      </c>
      <c r="J167" s="24" t="s">
        <v>53</v>
      </c>
      <c r="K167" s="28">
        <v>46182</v>
      </c>
      <c r="L167" s="24"/>
      <c r="M167" s="26" t="s">
        <v>179</v>
      </c>
    </row>
    <row r="168" spans="1:13" ht="30" x14ac:dyDescent="0.3">
      <c r="A168" s="24" t="s">
        <v>21</v>
      </c>
      <c r="B168" s="24" t="s">
        <v>6</v>
      </c>
      <c r="C168" s="24" t="s">
        <v>31</v>
      </c>
      <c r="D168" s="24" t="s">
        <v>43</v>
      </c>
      <c r="E168" s="24" t="s">
        <v>58</v>
      </c>
      <c r="F168" s="25" t="s">
        <v>207</v>
      </c>
      <c r="G168" s="47">
        <v>430000</v>
      </c>
      <c r="H168" s="5" t="s">
        <v>47</v>
      </c>
      <c r="I168" s="5" t="s">
        <v>50</v>
      </c>
      <c r="J168" s="24" t="s">
        <v>53</v>
      </c>
      <c r="K168" s="28">
        <v>46196</v>
      </c>
      <c r="L168" s="24"/>
      <c r="M168" s="26"/>
    </row>
    <row r="169" spans="1:13" ht="30" x14ac:dyDescent="0.3">
      <c r="A169" s="24" t="s">
        <v>21</v>
      </c>
      <c r="B169" s="24" t="s">
        <v>6</v>
      </c>
      <c r="C169" s="24" t="s">
        <v>73</v>
      </c>
      <c r="D169" s="24" t="s">
        <v>43</v>
      </c>
      <c r="E169" s="24" t="s">
        <v>58</v>
      </c>
      <c r="F169" s="25" t="s">
        <v>211</v>
      </c>
      <c r="G169" s="47">
        <v>1275075</v>
      </c>
      <c r="H169" s="5" t="s">
        <v>47</v>
      </c>
      <c r="I169" s="5" t="s">
        <v>50</v>
      </c>
      <c r="J169" s="24" t="s">
        <v>53</v>
      </c>
      <c r="K169" s="28">
        <v>46199</v>
      </c>
      <c r="L169" s="24"/>
      <c r="M169" s="26"/>
    </row>
    <row r="170" spans="1:13" ht="15" x14ac:dyDescent="0.3">
      <c r="A170" s="24" t="s">
        <v>21</v>
      </c>
      <c r="B170" s="24" t="s">
        <v>6</v>
      </c>
      <c r="C170" s="24" t="s">
        <v>73</v>
      </c>
      <c r="D170" s="24" t="s">
        <v>43</v>
      </c>
      <c r="E170" s="24" t="s">
        <v>58</v>
      </c>
      <c r="F170" s="25" t="s">
        <v>213</v>
      </c>
      <c r="G170" s="47">
        <v>63395</v>
      </c>
      <c r="H170" s="5" t="s">
        <v>47</v>
      </c>
      <c r="I170" s="5" t="s">
        <v>50</v>
      </c>
      <c r="J170" s="24" t="s">
        <v>53</v>
      </c>
      <c r="K170" s="28">
        <v>46199</v>
      </c>
      <c r="L170" s="24"/>
      <c r="M170" s="26"/>
    </row>
    <row r="171" spans="1:13" ht="15" x14ac:dyDescent="0.3">
      <c r="A171" s="24" t="s">
        <v>21</v>
      </c>
      <c r="B171" s="24" t="s">
        <v>6</v>
      </c>
      <c r="C171" s="24" t="s">
        <v>31</v>
      </c>
      <c r="D171" s="24" t="s">
        <v>37</v>
      </c>
      <c r="E171" s="24" t="s">
        <v>58</v>
      </c>
      <c r="F171" s="25" t="s">
        <v>238</v>
      </c>
      <c r="G171" s="47">
        <v>4000</v>
      </c>
      <c r="H171" s="5" t="s">
        <v>48</v>
      </c>
      <c r="I171" s="5" t="s">
        <v>50</v>
      </c>
      <c r="J171" s="24" t="s">
        <v>52</v>
      </c>
      <c r="K171" s="28">
        <v>46196</v>
      </c>
      <c r="L171" s="24"/>
      <c r="M171" s="26"/>
    </row>
    <row r="172" spans="1:13" ht="15" x14ac:dyDescent="0.3">
      <c r="A172" s="24" t="s">
        <v>21</v>
      </c>
      <c r="B172" s="24" t="s">
        <v>6</v>
      </c>
      <c r="C172" s="24" t="s">
        <v>31</v>
      </c>
      <c r="D172" s="24" t="s">
        <v>37</v>
      </c>
      <c r="E172" s="24" t="s">
        <v>58</v>
      </c>
      <c r="F172" s="25" t="s">
        <v>239</v>
      </c>
      <c r="G172" s="47">
        <v>7000</v>
      </c>
      <c r="H172" s="5" t="s">
        <v>48</v>
      </c>
      <c r="I172" s="5" t="s">
        <v>50</v>
      </c>
      <c r="J172" s="24" t="s">
        <v>52</v>
      </c>
      <c r="K172" s="28">
        <v>46197</v>
      </c>
      <c r="L172" s="24"/>
      <c r="M172" s="26"/>
    </row>
    <row r="173" spans="1:13" ht="15" x14ac:dyDescent="0.3">
      <c r="A173" s="24" t="s">
        <v>21</v>
      </c>
      <c r="B173" s="24" t="s">
        <v>6</v>
      </c>
      <c r="C173" s="24" t="s">
        <v>31</v>
      </c>
      <c r="D173" s="24" t="s">
        <v>37</v>
      </c>
      <c r="E173" s="24" t="s">
        <v>57</v>
      </c>
      <c r="F173" s="25" t="s">
        <v>240</v>
      </c>
      <c r="G173" s="47">
        <v>17800</v>
      </c>
      <c r="H173" s="5" t="s">
        <v>48</v>
      </c>
      <c r="I173" s="5" t="s">
        <v>50</v>
      </c>
      <c r="J173" s="24" t="s">
        <v>52</v>
      </c>
      <c r="K173" s="28">
        <v>46197</v>
      </c>
      <c r="L173" s="24"/>
      <c r="M173" s="26"/>
    </row>
    <row r="174" spans="1:13" ht="30" x14ac:dyDescent="0.3">
      <c r="A174" s="24" t="s">
        <v>21</v>
      </c>
      <c r="B174" s="24" t="s">
        <v>6</v>
      </c>
      <c r="C174" s="24" t="s">
        <v>31</v>
      </c>
      <c r="D174" s="24" t="s">
        <v>44</v>
      </c>
      <c r="E174" s="24" t="s">
        <v>57</v>
      </c>
      <c r="F174" s="25" t="s">
        <v>241</v>
      </c>
      <c r="G174" s="47">
        <v>500</v>
      </c>
      <c r="H174" s="5" t="s">
        <v>48</v>
      </c>
      <c r="I174" s="5" t="s">
        <v>50</v>
      </c>
      <c r="J174" s="24" t="s">
        <v>52</v>
      </c>
      <c r="K174" s="28">
        <v>46199</v>
      </c>
      <c r="L174" s="24"/>
      <c r="M174" s="26"/>
    </row>
    <row r="175" spans="1:13" ht="15" x14ac:dyDescent="0.3">
      <c r="A175" s="24" t="s">
        <v>21</v>
      </c>
      <c r="B175" s="24" t="s">
        <v>6</v>
      </c>
      <c r="C175" s="24" t="s">
        <v>31</v>
      </c>
      <c r="D175" s="24" t="s">
        <v>37</v>
      </c>
      <c r="E175" s="24" t="s">
        <v>58</v>
      </c>
      <c r="F175" s="25" t="s">
        <v>237</v>
      </c>
      <c r="G175" s="47">
        <v>119000</v>
      </c>
      <c r="H175" s="5" t="s">
        <v>48</v>
      </c>
      <c r="I175" s="5" t="s">
        <v>50</v>
      </c>
      <c r="J175" s="24" t="s">
        <v>52</v>
      </c>
      <c r="K175" s="28">
        <v>46199</v>
      </c>
      <c r="L175" s="24"/>
      <c r="M175" s="26"/>
    </row>
    <row r="176" spans="1:13" ht="30" x14ac:dyDescent="0.3">
      <c r="A176" s="24" t="s">
        <v>21</v>
      </c>
      <c r="B176" s="24" t="s">
        <v>6</v>
      </c>
      <c r="C176" s="24" t="s">
        <v>31</v>
      </c>
      <c r="D176" s="24" t="s">
        <v>37</v>
      </c>
      <c r="E176" s="24" t="s">
        <v>57</v>
      </c>
      <c r="F176" s="25" t="s">
        <v>242</v>
      </c>
      <c r="G176" s="47">
        <v>662400</v>
      </c>
      <c r="H176" s="5" t="s">
        <v>48</v>
      </c>
      <c r="I176" s="5" t="s">
        <v>50</v>
      </c>
      <c r="J176" s="24" t="s">
        <v>52</v>
      </c>
      <c r="K176" s="28">
        <v>46191</v>
      </c>
      <c r="L176" s="24"/>
      <c r="M176" s="26"/>
    </row>
    <row r="177" spans="1:13" ht="15" x14ac:dyDescent="0.3">
      <c r="A177" s="24" t="s">
        <v>21</v>
      </c>
      <c r="B177" s="24" t="s">
        <v>6</v>
      </c>
      <c r="C177" s="24" t="s">
        <v>23</v>
      </c>
      <c r="D177" s="24" t="s">
        <v>45</v>
      </c>
      <c r="E177" s="24" t="s">
        <v>58</v>
      </c>
      <c r="F177" s="25" t="s">
        <v>243</v>
      </c>
      <c r="G177" s="47">
        <v>15000</v>
      </c>
      <c r="H177" s="5" t="s">
        <v>48</v>
      </c>
      <c r="I177" s="5" t="s">
        <v>50</v>
      </c>
      <c r="J177" s="24" t="s">
        <v>52</v>
      </c>
      <c r="K177" s="28">
        <v>46196</v>
      </c>
      <c r="L177" s="24"/>
      <c r="M177" s="26"/>
    </row>
    <row r="178" spans="1:13" ht="15" x14ac:dyDescent="0.3">
      <c r="A178" s="24" t="s">
        <v>21</v>
      </c>
      <c r="B178" s="24" t="s">
        <v>6</v>
      </c>
      <c r="C178" s="24" t="s">
        <v>23</v>
      </c>
      <c r="D178" s="24" t="s">
        <v>45</v>
      </c>
      <c r="E178" s="24" t="s">
        <v>58</v>
      </c>
      <c r="F178" s="25" t="s">
        <v>244</v>
      </c>
      <c r="G178" s="47">
        <v>8500</v>
      </c>
      <c r="H178" s="5" t="s">
        <v>48</v>
      </c>
      <c r="I178" s="5" t="s">
        <v>50</v>
      </c>
      <c r="J178" s="24" t="s">
        <v>52</v>
      </c>
      <c r="K178" s="28">
        <v>46197</v>
      </c>
      <c r="L178" s="24"/>
      <c r="M178" s="26"/>
    </row>
    <row r="179" spans="1:13" x14ac:dyDescent="0.3">
      <c r="A179" s="24" t="s">
        <v>15</v>
      </c>
      <c r="B179" s="24" t="s">
        <v>6</v>
      </c>
      <c r="C179" s="24" t="s">
        <v>30</v>
      </c>
      <c r="D179" s="24" t="s">
        <v>46</v>
      </c>
      <c r="E179" s="24" t="s">
        <v>57</v>
      </c>
      <c r="F179" s="25" t="s">
        <v>91</v>
      </c>
      <c r="G179" s="47">
        <v>144400</v>
      </c>
      <c r="H179" s="5" t="s">
        <v>48</v>
      </c>
      <c r="I179" s="5" t="s">
        <v>50</v>
      </c>
      <c r="J179" s="24" t="s">
        <v>53</v>
      </c>
      <c r="K179" s="28">
        <v>46174</v>
      </c>
      <c r="L179" s="24"/>
      <c r="M179" s="26" t="s">
        <v>161</v>
      </c>
    </row>
    <row r="180" spans="1:13" x14ac:dyDescent="0.3">
      <c r="A180" s="24" t="s">
        <v>15</v>
      </c>
      <c r="B180" s="24" t="s">
        <v>6</v>
      </c>
      <c r="C180" s="24" t="s">
        <v>25</v>
      </c>
      <c r="D180" s="24" t="s">
        <v>45</v>
      </c>
      <c r="E180" s="24" t="s">
        <v>57</v>
      </c>
      <c r="F180" s="25" t="s">
        <v>164</v>
      </c>
      <c r="G180" s="47">
        <v>285600</v>
      </c>
      <c r="H180" s="5" t="s">
        <v>48</v>
      </c>
      <c r="I180" s="5" t="s">
        <v>50</v>
      </c>
      <c r="J180" s="24" t="s">
        <v>53</v>
      </c>
      <c r="K180" s="28">
        <v>46177</v>
      </c>
      <c r="L180" s="24"/>
      <c r="M180" s="26" t="s">
        <v>165</v>
      </c>
    </row>
    <row r="181" spans="1:13" x14ac:dyDescent="0.3">
      <c r="A181" s="24" t="s">
        <v>15</v>
      </c>
      <c r="B181" s="24" t="s">
        <v>6</v>
      </c>
      <c r="C181" s="24" t="s">
        <v>33</v>
      </c>
      <c r="D181" s="24" t="s">
        <v>41</v>
      </c>
      <c r="E181" s="24" t="s">
        <v>58</v>
      </c>
      <c r="F181" s="25" t="s">
        <v>199</v>
      </c>
      <c r="G181" s="47">
        <v>279000</v>
      </c>
      <c r="H181" s="5" t="s">
        <v>48</v>
      </c>
      <c r="I181" s="5" t="s">
        <v>50</v>
      </c>
      <c r="J181" s="24" t="s">
        <v>53</v>
      </c>
      <c r="K181" s="28">
        <v>46181</v>
      </c>
      <c r="L181" s="24"/>
      <c r="M181" s="26" t="s">
        <v>189</v>
      </c>
    </row>
    <row r="182" spans="1:13" x14ac:dyDescent="0.3">
      <c r="A182" s="24" t="s">
        <v>15</v>
      </c>
      <c r="B182" s="24" t="s">
        <v>6</v>
      </c>
      <c r="C182" s="24" t="s">
        <v>29</v>
      </c>
      <c r="D182" s="24" t="s">
        <v>43</v>
      </c>
      <c r="E182" s="24" t="s">
        <v>58</v>
      </c>
      <c r="F182" s="25" t="s">
        <v>201</v>
      </c>
      <c r="G182" s="47">
        <v>98000</v>
      </c>
      <c r="H182" s="5" t="s">
        <v>48</v>
      </c>
      <c r="I182" s="5" t="s">
        <v>50</v>
      </c>
      <c r="J182" s="24" t="s">
        <v>53</v>
      </c>
      <c r="K182" s="28">
        <v>46181</v>
      </c>
      <c r="L182" s="24"/>
      <c r="M182" s="26" t="s">
        <v>191</v>
      </c>
    </row>
    <row r="183" spans="1:13" x14ac:dyDescent="0.3">
      <c r="A183" s="24" t="s">
        <v>15</v>
      </c>
      <c r="B183" s="24" t="s">
        <v>6</v>
      </c>
      <c r="C183" s="24" t="s">
        <v>33</v>
      </c>
      <c r="D183" s="24" t="s">
        <v>40</v>
      </c>
      <c r="E183" s="24" t="s">
        <v>58</v>
      </c>
      <c r="F183" s="25" t="s">
        <v>245</v>
      </c>
      <c r="G183" s="47">
        <v>60000</v>
      </c>
      <c r="H183" s="5"/>
      <c r="I183" s="5" t="s">
        <v>50</v>
      </c>
      <c r="J183" s="24" t="s">
        <v>52</v>
      </c>
      <c r="K183" s="28">
        <v>46197</v>
      </c>
      <c r="L183" s="24"/>
      <c r="M183" s="26"/>
    </row>
    <row r="184" spans="1:13" x14ac:dyDescent="0.3">
      <c r="A184" s="24" t="s">
        <v>16</v>
      </c>
      <c r="B184" s="24" t="s">
        <v>6</v>
      </c>
      <c r="C184" s="24" t="s">
        <v>30</v>
      </c>
      <c r="D184" s="24" t="s">
        <v>46</v>
      </c>
      <c r="E184" s="24" t="s">
        <v>57</v>
      </c>
      <c r="F184" s="25" t="s">
        <v>91</v>
      </c>
      <c r="G184" s="47">
        <v>71600</v>
      </c>
      <c r="H184" s="5" t="s">
        <v>47</v>
      </c>
      <c r="I184" s="5" t="s">
        <v>50</v>
      </c>
      <c r="J184" s="24" t="s">
        <v>53</v>
      </c>
      <c r="K184" s="28">
        <v>46176</v>
      </c>
      <c r="L184" s="24"/>
      <c r="M184" s="26" t="s">
        <v>161</v>
      </c>
    </row>
    <row r="185" spans="1:13" x14ac:dyDescent="0.3">
      <c r="A185" s="24" t="s">
        <v>16</v>
      </c>
      <c r="B185" s="24" t="s">
        <v>6</v>
      </c>
      <c r="C185" s="24" t="s">
        <v>30</v>
      </c>
      <c r="D185" s="24" t="s">
        <v>46</v>
      </c>
      <c r="E185" s="24" t="s">
        <v>57</v>
      </c>
      <c r="F185" s="25" t="s">
        <v>162</v>
      </c>
      <c r="G185" s="47">
        <v>255961</v>
      </c>
      <c r="H185" s="5" t="s">
        <v>47</v>
      </c>
      <c r="I185" s="5" t="s">
        <v>50</v>
      </c>
      <c r="J185" s="24" t="s">
        <v>53</v>
      </c>
      <c r="K185" s="28">
        <v>46179</v>
      </c>
      <c r="L185" s="24"/>
      <c r="M185" s="26" t="s">
        <v>163</v>
      </c>
    </row>
    <row r="186" spans="1:13" x14ac:dyDescent="0.3">
      <c r="A186" s="24" t="s">
        <v>16</v>
      </c>
      <c r="B186" s="24" t="s">
        <v>6</v>
      </c>
      <c r="C186" s="24" t="s">
        <v>32</v>
      </c>
      <c r="D186" s="24" t="s">
        <v>44</v>
      </c>
      <c r="E186" s="24" t="s">
        <v>57</v>
      </c>
      <c r="F186" s="25" t="s">
        <v>166</v>
      </c>
      <c r="G186" s="47">
        <v>144000</v>
      </c>
      <c r="H186" s="5" t="s">
        <v>48</v>
      </c>
      <c r="I186" s="5" t="s">
        <v>50</v>
      </c>
      <c r="J186" s="24" t="s">
        <v>53</v>
      </c>
      <c r="K186" s="28">
        <v>46181</v>
      </c>
      <c r="L186" s="24"/>
      <c r="M186" s="26" t="s">
        <v>167</v>
      </c>
    </row>
    <row r="187" spans="1:13" x14ac:dyDescent="0.3">
      <c r="A187" s="24" t="s">
        <v>16</v>
      </c>
      <c r="B187" s="24" t="s">
        <v>6</v>
      </c>
      <c r="C187" s="24" t="s">
        <v>30</v>
      </c>
      <c r="D187" s="24" t="s">
        <v>41</v>
      </c>
      <c r="E187" s="24" t="s">
        <v>57</v>
      </c>
      <c r="F187" s="25" t="s">
        <v>195</v>
      </c>
      <c r="G187" s="47">
        <v>210000</v>
      </c>
      <c r="H187" s="5" t="s">
        <v>48</v>
      </c>
      <c r="I187" s="5" t="s">
        <v>50</v>
      </c>
      <c r="J187" s="24" t="s">
        <v>53</v>
      </c>
      <c r="K187" s="28">
        <v>46185</v>
      </c>
      <c r="L187" s="24"/>
      <c r="M187" s="26" t="s">
        <v>189</v>
      </c>
    </row>
    <row r="188" spans="1:13" x14ac:dyDescent="0.3">
      <c r="A188" s="24" t="s">
        <v>16</v>
      </c>
      <c r="B188" s="24" t="s">
        <v>6</v>
      </c>
      <c r="C188" s="24" t="s">
        <v>32</v>
      </c>
      <c r="D188" s="24" t="s">
        <v>44</v>
      </c>
      <c r="E188" s="24" t="s">
        <v>58</v>
      </c>
      <c r="F188" s="25" t="s">
        <v>210</v>
      </c>
      <c r="G188" s="47">
        <v>147000</v>
      </c>
      <c r="H188" s="5" t="s">
        <v>48</v>
      </c>
      <c r="I188" s="5" t="s">
        <v>50</v>
      </c>
      <c r="J188" s="24" t="s">
        <v>53</v>
      </c>
      <c r="K188" s="28">
        <v>46197</v>
      </c>
      <c r="L188" s="24"/>
      <c r="M188" s="26"/>
    </row>
    <row r="189" spans="1:13" x14ac:dyDescent="0.3">
      <c r="A189" s="52" t="s">
        <v>8</v>
      </c>
      <c r="B189" s="52" t="s">
        <v>6</v>
      </c>
      <c r="C189" s="52" t="s">
        <v>27</v>
      </c>
      <c r="D189" s="52" t="s">
        <v>37</v>
      </c>
      <c r="E189" s="52" t="s">
        <v>58</v>
      </c>
      <c r="F189" s="53" t="s">
        <v>249</v>
      </c>
      <c r="G189" s="47">
        <v>21000</v>
      </c>
      <c r="H189" s="54" t="s">
        <v>48</v>
      </c>
      <c r="I189" s="54" t="s">
        <v>50</v>
      </c>
      <c r="J189" s="52" t="s">
        <v>52</v>
      </c>
      <c r="K189" s="55">
        <v>46174</v>
      </c>
      <c r="L189" s="24"/>
      <c r="M189" s="26"/>
    </row>
    <row r="190" spans="1:13" x14ac:dyDescent="0.3">
      <c r="A190" s="21" t="s">
        <v>8</v>
      </c>
      <c r="B190" s="21" t="s">
        <v>7</v>
      </c>
      <c r="C190" s="21" t="s">
        <v>32</v>
      </c>
      <c r="D190" s="21" t="s">
        <v>39</v>
      </c>
      <c r="E190" s="21" t="s">
        <v>58</v>
      </c>
      <c r="F190" s="22" t="s">
        <v>250</v>
      </c>
      <c r="G190" s="47">
        <f>30000+28000</f>
        <v>58000</v>
      </c>
      <c r="H190" s="7" t="s">
        <v>48</v>
      </c>
      <c r="I190" s="7" t="s">
        <v>50</v>
      </c>
      <c r="J190" s="21" t="s">
        <v>52</v>
      </c>
      <c r="K190" s="12">
        <v>46177</v>
      </c>
      <c r="L190" s="21"/>
      <c r="M190" s="13"/>
    </row>
    <row r="191" spans="1:13" x14ac:dyDescent="0.3">
      <c r="A191" s="21" t="s">
        <v>8</v>
      </c>
      <c r="B191" s="21" t="s">
        <v>6</v>
      </c>
      <c r="C191" s="21" t="s">
        <v>33</v>
      </c>
      <c r="D191" s="21" t="s">
        <v>40</v>
      </c>
      <c r="E191" s="21" t="s">
        <v>58</v>
      </c>
      <c r="F191" s="22" t="s">
        <v>251</v>
      </c>
      <c r="G191" s="47">
        <v>1500</v>
      </c>
      <c r="H191" s="7" t="s">
        <v>48</v>
      </c>
      <c r="I191" s="7" t="s">
        <v>50</v>
      </c>
      <c r="J191" s="21" t="s">
        <v>52</v>
      </c>
      <c r="K191" s="55">
        <v>46177</v>
      </c>
      <c r="L191" s="21"/>
      <c r="M191" s="13"/>
    </row>
    <row r="192" spans="1:13" x14ac:dyDescent="0.3">
      <c r="A192" s="21" t="s">
        <v>8</v>
      </c>
      <c r="B192" s="21" t="s">
        <v>6</v>
      </c>
      <c r="C192" s="21" t="s">
        <v>27</v>
      </c>
      <c r="D192" s="21" t="s">
        <v>45</v>
      </c>
      <c r="E192" s="21" t="s">
        <v>58</v>
      </c>
      <c r="F192" s="22" t="s">
        <v>252</v>
      </c>
      <c r="G192" s="47">
        <v>20000</v>
      </c>
      <c r="H192" s="7" t="s">
        <v>48</v>
      </c>
      <c r="I192" s="7" t="s">
        <v>50</v>
      </c>
      <c r="J192" s="21" t="s">
        <v>52</v>
      </c>
      <c r="K192" s="12">
        <v>46174</v>
      </c>
      <c r="L192" s="21"/>
      <c r="M192" s="13"/>
    </row>
    <row r="193" spans="1:13" x14ac:dyDescent="0.3">
      <c r="A193" s="21" t="s">
        <v>8</v>
      </c>
      <c r="B193" s="21" t="s">
        <v>6</v>
      </c>
      <c r="C193" s="21" t="s">
        <v>23</v>
      </c>
      <c r="D193" s="21" t="s">
        <v>37</v>
      </c>
      <c r="E193" s="21" t="s">
        <v>58</v>
      </c>
      <c r="F193" s="22" t="s">
        <v>253</v>
      </c>
      <c r="G193" s="47">
        <v>63000</v>
      </c>
      <c r="H193" s="7" t="s">
        <v>48</v>
      </c>
      <c r="I193" s="7" t="s">
        <v>50</v>
      </c>
      <c r="J193" s="21" t="s">
        <v>52</v>
      </c>
      <c r="K193" s="12">
        <v>46178</v>
      </c>
      <c r="L193" s="21"/>
      <c r="M193" s="13"/>
    </row>
    <row r="194" spans="1:13" x14ac:dyDescent="0.3">
      <c r="A194" s="21" t="s">
        <v>5</v>
      </c>
      <c r="B194" s="21" t="s">
        <v>6</v>
      </c>
      <c r="C194" s="21" t="s">
        <v>33</v>
      </c>
      <c r="D194" s="21" t="s">
        <v>40</v>
      </c>
      <c r="E194" s="21" t="s">
        <v>58</v>
      </c>
      <c r="F194" s="22" t="s">
        <v>254</v>
      </c>
      <c r="G194" s="47">
        <v>5000</v>
      </c>
      <c r="H194" s="7" t="s">
        <v>48</v>
      </c>
      <c r="I194" s="7" t="s">
        <v>50</v>
      </c>
      <c r="J194" s="21" t="s">
        <v>52</v>
      </c>
      <c r="K194" s="12">
        <v>46178</v>
      </c>
      <c r="L194" s="21"/>
      <c r="M194" s="13"/>
    </row>
    <row r="195" spans="1:13" ht="27.6" x14ac:dyDescent="0.3">
      <c r="A195" s="21" t="s">
        <v>8</v>
      </c>
      <c r="B195" s="21" t="s">
        <v>7</v>
      </c>
      <c r="C195" s="21" t="s">
        <v>31</v>
      </c>
      <c r="D195" s="21" t="s">
        <v>40</v>
      </c>
      <c r="E195" s="21" t="s">
        <v>58</v>
      </c>
      <c r="F195" s="22" t="s">
        <v>255</v>
      </c>
      <c r="G195" s="47">
        <v>25000</v>
      </c>
      <c r="H195" s="7" t="s">
        <v>48</v>
      </c>
      <c r="I195" s="7" t="s">
        <v>50</v>
      </c>
      <c r="J195" s="21" t="s">
        <v>52</v>
      </c>
      <c r="K195" s="12">
        <v>46178</v>
      </c>
      <c r="L195" s="21"/>
      <c r="M195" s="13"/>
    </row>
    <row r="196" spans="1:13" x14ac:dyDescent="0.3">
      <c r="A196" s="21" t="s">
        <v>5</v>
      </c>
      <c r="B196" s="21" t="s">
        <v>6</v>
      </c>
      <c r="C196" s="21" t="s">
        <v>27</v>
      </c>
      <c r="D196" s="21" t="s">
        <v>45</v>
      </c>
      <c r="E196" s="21" t="s">
        <v>58</v>
      </c>
      <c r="F196" s="22" t="s">
        <v>256</v>
      </c>
      <c r="G196" s="47">
        <v>15000</v>
      </c>
      <c r="H196" s="7" t="s">
        <v>48</v>
      </c>
      <c r="I196" s="7" t="s">
        <v>50</v>
      </c>
      <c r="J196" s="21" t="s">
        <v>52</v>
      </c>
      <c r="K196" s="12">
        <v>46181</v>
      </c>
      <c r="L196" s="21"/>
      <c r="M196" s="13"/>
    </row>
    <row r="197" spans="1:13" x14ac:dyDescent="0.3">
      <c r="A197" s="21" t="s">
        <v>8</v>
      </c>
      <c r="B197" s="21" t="s">
        <v>6</v>
      </c>
      <c r="C197" s="21" t="s">
        <v>23</v>
      </c>
      <c r="D197" s="21" t="s">
        <v>45</v>
      </c>
      <c r="E197" s="21" t="s">
        <v>58</v>
      </c>
      <c r="F197" s="56" t="s">
        <v>257</v>
      </c>
      <c r="G197" s="47">
        <v>32000</v>
      </c>
      <c r="H197" s="7" t="s">
        <v>48</v>
      </c>
      <c r="I197" s="7" t="s">
        <v>50</v>
      </c>
      <c r="J197" s="21" t="s">
        <v>52</v>
      </c>
      <c r="K197" s="12">
        <v>46182</v>
      </c>
      <c r="L197" s="21"/>
      <c r="M197" s="13"/>
    </row>
    <row r="198" spans="1:13" x14ac:dyDescent="0.3">
      <c r="A198" s="21" t="s">
        <v>8</v>
      </c>
      <c r="B198" s="21" t="s">
        <v>7</v>
      </c>
      <c r="C198" s="21" t="s">
        <v>32</v>
      </c>
      <c r="D198" s="21" t="s">
        <v>40</v>
      </c>
      <c r="E198" s="21" t="s">
        <v>60</v>
      </c>
      <c r="F198" s="22" t="s">
        <v>258</v>
      </c>
      <c r="G198" s="47">
        <v>751200</v>
      </c>
      <c r="H198" s="7" t="s">
        <v>48</v>
      </c>
      <c r="I198" s="7" t="s">
        <v>50</v>
      </c>
      <c r="J198" s="21" t="s">
        <v>53</v>
      </c>
      <c r="K198" s="12">
        <v>46182</v>
      </c>
      <c r="L198" s="21"/>
      <c r="M198" s="13"/>
    </row>
    <row r="199" spans="1:13" x14ac:dyDescent="0.3">
      <c r="A199" s="52" t="s">
        <v>8</v>
      </c>
      <c r="B199" s="52" t="s">
        <v>7</v>
      </c>
      <c r="C199" s="52" t="s">
        <v>32</v>
      </c>
      <c r="D199" s="52" t="s">
        <v>40</v>
      </c>
      <c r="E199" s="52" t="s">
        <v>60</v>
      </c>
      <c r="F199" s="53" t="s">
        <v>259</v>
      </c>
      <c r="G199" s="47">
        <v>1692000</v>
      </c>
      <c r="H199" s="54" t="s">
        <v>48</v>
      </c>
      <c r="I199" s="54" t="s">
        <v>50</v>
      </c>
      <c r="J199" s="52" t="s">
        <v>53</v>
      </c>
      <c r="K199" s="55">
        <v>46182</v>
      </c>
      <c r="L199" s="21"/>
      <c r="M199" s="13"/>
    </row>
    <row r="200" spans="1:13" x14ac:dyDescent="0.3">
      <c r="A200" s="52" t="s">
        <v>8</v>
      </c>
      <c r="B200" s="52" t="s">
        <v>7</v>
      </c>
      <c r="C200" s="52" t="s">
        <v>32</v>
      </c>
      <c r="D200" s="52" t="s">
        <v>40</v>
      </c>
      <c r="E200" s="52" t="s">
        <v>60</v>
      </c>
      <c r="F200" s="53" t="s">
        <v>260</v>
      </c>
      <c r="G200" s="47">
        <v>599130</v>
      </c>
      <c r="H200" s="54" t="s">
        <v>48</v>
      </c>
      <c r="I200" s="54" t="s">
        <v>50</v>
      </c>
      <c r="J200" s="52" t="s">
        <v>53</v>
      </c>
      <c r="K200" s="55">
        <v>46182</v>
      </c>
      <c r="L200" s="21"/>
      <c r="M200" s="13"/>
    </row>
    <row r="201" spans="1:13" x14ac:dyDescent="0.3">
      <c r="A201" s="21" t="s">
        <v>8</v>
      </c>
      <c r="B201" s="21" t="s">
        <v>6</v>
      </c>
      <c r="C201" s="21" t="s">
        <v>27</v>
      </c>
      <c r="D201" s="21" t="s">
        <v>40</v>
      </c>
      <c r="E201" s="21" t="s">
        <v>58</v>
      </c>
      <c r="F201" s="22" t="s">
        <v>261</v>
      </c>
      <c r="G201" s="47">
        <v>325000</v>
      </c>
      <c r="H201" s="7" t="s">
        <v>48</v>
      </c>
      <c r="I201" s="7" t="s">
        <v>50</v>
      </c>
      <c r="J201" s="21" t="s">
        <v>53</v>
      </c>
      <c r="K201" s="12">
        <v>46178</v>
      </c>
      <c r="L201" s="21"/>
      <c r="M201" s="13"/>
    </row>
    <row r="202" spans="1:13" x14ac:dyDescent="0.3">
      <c r="A202" s="21" t="s">
        <v>8</v>
      </c>
      <c r="B202" s="21" t="s">
        <v>6</v>
      </c>
      <c r="C202" s="21" t="s">
        <v>25</v>
      </c>
      <c r="D202" s="21" t="s">
        <v>45</v>
      </c>
      <c r="E202" s="21" t="s">
        <v>58</v>
      </c>
      <c r="F202" s="22" t="s">
        <v>262</v>
      </c>
      <c r="G202" s="47">
        <v>384800</v>
      </c>
      <c r="H202" s="7" t="s">
        <v>48</v>
      </c>
      <c r="I202" s="7" t="s">
        <v>50</v>
      </c>
      <c r="J202" s="21" t="s">
        <v>53</v>
      </c>
      <c r="K202" s="12">
        <v>46183</v>
      </c>
      <c r="L202" s="21"/>
      <c r="M202" s="13"/>
    </row>
    <row r="203" spans="1:13" x14ac:dyDescent="0.3">
      <c r="A203" s="24" t="s">
        <v>8</v>
      </c>
      <c r="B203" s="24" t="s">
        <v>6</v>
      </c>
      <c r="C203" s="24" t="s">
        <v>31</v>
      </c>
      <c r="D203" s="24" t="s">
        <v>37</v>
      </c>
      <c r="E203" s="24" t="s">
        <v>57</v>
      </c>
      <c r="F203" s="25" t="s">
        <v>124</v>
      </c>
      <c r="G203" s="47">
        <v>823000</v>
      </c>
      <c r="H203" s="5" t="s">
        <v>47</v>
      </c>
      <c r="I203" s="5" t="s">
        <v>50</v>
      </c>
      <c r="J203" s="24" t="s">
        <v>53</v>
      </c>
      <c r="K203" s="28">
        <v>46183</v>
      </c>
      <c r="L203" s="21"/>
      <c r="M203" s="13"/>
    </row>
    <row r="204" spans="1:13" x14ac:dyDescent="0.3">
      <c r="A204" s="24" t="s">
        <v>8</v>
      </c>
      <c r="B204" s="24" t="s">
        <v>7</v>
      </c>
      <c r="C204" s="24" t="s">
        <v>31</v>
      </c>
      <c r="D204" s="24" t="s">
        <v>37</v>
      </c>
      <c r="E204" s="24" t="s">
        <v>57</v>
      </c>
      <c r="F204" s="25" t="s">
        <v>126</v>
      </c>
      <c r="G204" s="47">
        <v>1646000</v>
      </c>
      <c r="H204" s="5" t="s">
        <v>47</v>
      </c>
      <c r="I204" s="5" t="s">
        <v>50</v>
      </c>
      <c r="J204" s="24" t="s">
        <v>53</v>
      </c>
      <c r="K204" s="28">
        <v>46183</v>
      </c>
      <c r="L204" s="21"/>
      <c r="M204" s="13"/>
    </row>
    <row r="205" spans="1:13" x14ac:dyDescent="0.3">
      <c r="A205" s="21" t="s">
        <v>8</v>
      </c>
      <c r="B205" s="21" t="s">
        <v>6</v>
      </c>
      <c r="C205" s="21" t="s">
        <v>32</v>
      </c>
      <c r="D205" s="21" t="s">
        <v>44</v>
      </c>
      <c r="E205" s="21" t="s">
        <v>58</v>
      </c>
      <c r="F205" s="22" t="s">
        <v>263</v>
      </c>
      <c r="G205" s="47">
        <v>15000</v>
      </c>
      <c r="H205" s="7" t="s">
        <v>47</v>
      </c>
      <c r="I205" s="7" t="s">
        <v>50</v>
      </c>
      <c r="J205" s="21" t="s">
        <v>52</v>
      </c>
      <c r="K205" s="12">
        <v>46185</v>
      </c>
      <c r="L205" s="21"/>
      <c r="M205" s="13"/>
    </row>
    <row r="206" spans="1:13" x14ac:dyDescent="0.3">
      <c r="A206" s="21" t="s">
        <v>5</v>
      </c>
      <c r="B206" s="21" t="s">
        <v>6</v>
      </c>
      <c r="C206" s="21" t="s">
        <v>23</v>
      </c>
      <c r="D206" s="21" t="s">
        <v>45</v>
      </c>
      <c r="E206" s="21" t="s">
        <v>58</v>
      </c>
      <c r="F206" s="22" t="s">
        <v>264</v>
      </c>
      <c r="G206" s="47">
        <v>29500</v>
      </c>
      <c r="H206" s="7" t="s">
        <v>48</v>
      </c>
      <c r="I206" s="7" t="s">
        <v>50</v>
      </c>
      <c r="J206" s="21" t="s">
        <v>52</v>
      </c>
      <c r="K206" s="12">
        <v>46186</v>
      </c>
      <c r="L206" s="21"/>
      <c r="M206" s="13"/>
    </row>
    <row r="207" spans="1:13" x14ac:dyDescent="0.3">
      <c r="A207" s="21" t="s">
        <v>5</v>
      </c>
      <c r="B207" s="21" t="s">
        <v>7</v>
      </c>
      <c r="C207" s="21" t="s">
        <v>32</v>
      </c>
      <c r="D207" s="21" t="s">
        <v>40</v>
      </c>
      <c r="E207" s="21" t="s">
        <v>58</v>
      </c>
      <c r="F207" s="22" t="s">
        <v>265</v>
      </c>
      <c r="G207" s="47">
        <v>513000</v>
      </c>
      <c r="H207" s="7" t="s">
        <v>48</v>
      </c>
      <c r="I207" s="7" t="s">
        <v>50</v>
      </c>
      <c r="J207" s="21" t="s">
        <v>53</v>
      </c>
      <c r="K207" s="12">
        <v>46183</v>
      </c>
      <c r="L207" s="21"/>
      <c r="M207" s="13"/>
    </row>
    <row r="208" spans="1:13" x14ac:dyDescent="0.3">
      <c r="A208" s="21" t="s">
        <v>8</v>
      </c>
      <c r="B208" s="21" t="s">
        <v>7</v>
      </c>
      <c r="C208" s="21" t="s">
        <v>54</v>
      </c>
      <c r="D208" s="21" t="s">
        <v>40</v>
      </c>
      <c r="E208" s="21" t="s">
        <v>58</v>
      </c>
      <c r="F208" s="22" t="s">
        <v>266</v>
      </c>
      <c r="G208" s="47">
        <v>511000</v>
      </c>
      <c r="H208" s="7" t="s">
        <v>48</v>
      </c>
      <c r="I208" s="7" t="s">
        <v>50</v>
      </c>
      <c r="J208" s="21" t="s">
        <v>53</v>
      </c>
      <c r="K208" s="12">
        <v>46188</v>
      </c>
      <c r="L208" s="21"/>
      <c r="M208" s="13"/>
    </row>
    <row r="209" spans="1:13" x14ac:dyDescent="0.3">
      <c r="A209" s="21" t="s">
        <v>8</v>
      </c>
      <c r="B209" s="21" t="s">
        <v>6</v>
      </c>
      <c r="C209" s="21" t="s">
        <v>23</v>
      </c>
      <c r="D209" s="21" t="s">
        <v>45</v>
      </c>
      <c r="E209" s="21" t="s">
        <v>58</v>
      </c>
      <c r="F209" s="22" t="s">
        <v>267</v>
      </c>
      <c r="G209" s="47">
        <v>155785</v>
      </c>
      <c r="H209" s="7" t="s">
        <v>48</v>
      </c>
      <c r="I209" s="7" t="s">
        <v>50</v>
      </c>
      <c r="J209" s="21" t="s">
        <v>53</v>
      </c>
      <c r="K209" s="12">
        <v>46188</v>
      </c>
      <c r="L209" s="21"/>
      <c r="M209" s="13"/>
    </row>
    <row r="210" spans="1:13" x14ac:dyDescent="0.3">
      <c r="A210" s="21" t="s">
        <v>5</v>
      </c>
      <c r="B210" s="21" t="s">
        <v>6</v>
      </c>
      <c r="C210" s="21" t="s">
        <v>29</v>
      </c>
      <c r="D210" s="21" t="s">
        <v>43</v>
      </c>
      <c r="E210" s="21" t="s">
        <v>58</v>
      </c>
      <c r="F210" s="22" t="s">
        <v>268</v>
      </c>
      <c r="G210" s="47">
        <v>215000</v>
      </c>
      <c r="H210" s="7" t="s">
        <v>48</v>
      </c>
      <c r="I210" s="7" t="s">
        <v>50</v>
      </c>
      <c r="J210" s="21" t="s">
        <v>53</v>
      </c>
      <c r="K210" s="12">
        <v>46188</v>
      </c>
      <c r="L210" s="21"/>
      <c r="M210" s="13"/>
    </row>
    <row r="211" spans="1:13" x14ac:dyDescent="0.3">
      <c r="A211" s="21" t="s">
        <v>5</v>
      </c>
      <c r="B211" s="21" t="s">
        <v>7</v>
      </c>
      <c r="C211" s="21" t="s">
        <v>32</v>
      </c>
      <c r="D211" s="21" t="s">
        <v>40</v>
      </c>
      <c r="E211" s="21" t="s">
        <v>60</v>
      </c>
      <c r="F211" s="22" t="s">
        <v>269</v>
      </c>
      <c r="G211" s="47">
        <v>7715548</v>
      </c>
      <c r="H211" s="7" t="s">
        <v>48</v>
      </c>
      <c r="I211" s="7" t="s">
        <v>50</v>
      </c>
      <c r="J211" s="21" t="s">
        <v>53</v>
      </c>
      <c r="K211" s="12">
        <v>46189</v>
      </c>
      <c r="L211" s="21"/>
      <c r="M211" s="13"/>
    </row>
    <row r="212" spans="1:13" x14ac:dyDescent="0.3">
      <c r="A212" s="21" t="s">
        <v>8</v>
      </c>
      <c r="B212" s="21" t="s">
        <v>7</v>
      </c>
      <c r="C212" s="21" t="s">
        <v>32</v>
      </c>
      <c r="D212" s="21" t="s">
        <v>40</v>
      </c>
      <c r="E212" s="21" t="s">
        <v>58</v>
      </c>
      <c r="F212" s="22" t="s">
        <v>270</v>
      </c>
      <c r="G212" s="47">
        <f>25000+100000</f>
        <v>125000</v>
      </c>
      <c r="H212" s="7" t="s">
        <v>48</v>
      </c>
      <c r="I212" s="7" t="s">
        <v>50</v>
      </c>
      <c r="J212" s="21" t="s">
        <v>52</v>
      </c>
      <c r="K212" s="12">
        <v>46189</v>
      </c>
      <c r="L212" s="21"/>
      <c r="M212" s="13"/>
    </row>
    <row r="213" spans="1:13" x14ac:dyDescent="0.3">
      <c r="A213" s="21" t="s">
        <v>8</v>
      </c>
      <c r="B213" s="21" t="s">
        <v>6</v>
      </c>
      <c r="C213" s="21" t="s">
        <v>33</v>
      </c>
      <c r="D213" s="21" t="s">
        <v>40</v>
      </c>
      <c r="E213" s="21" t="s">
        <v>57</v>
      </c>
      <c r="F213" s="22" t="s">
        <v>271</v>
      </c>
      <c r="G213" s="47">
        <v>2000</v>
      </c>
      <c r="H213" s="7" t="s">
        <v>48</v>
      </c>
      <c r="I213" s="7" t="s">
        <v>50</v>
      </c>
      <c r="J213" s="21" t="s">
        <v>52</v>
      </c>
      <c r="K213" s="12">
        <v>46189</v>
      </c>
      <c r="L213" s="21"/>
      <c r="M213" s="13"/>
    </row>
    <row r="214" spans="1:13" x14ac:dyDescent="0.3">
      <c r="A214" s="21" t="s">
        <v>8</v>
      </c>
      <c r="B214" s="21" t="s">
        <v>6</v>
      </c>
      <c r="C214" s="21" t="s">
        <v>30</v>
      </c>
      <c r="D214" s="21" t="s">
        <v>41</v>
      </c>
      <c r="E214" s="21" t="s">
        <v>58</v>
      </c>
      <c r="F214" s="22" t="s">
        <v>272</v>
      </c>
      <c r="G214" s="47">
        <v>20000</v>
      </c>
      <c r="H214" s="7" t="s">
        <v>48</v>
      </c>
      <c r="I214" s="7" t="s">
        <v>50</v>
      </c>
      <c r="J214" s="21" t="s">
        <v>52</v>
      </c>
      <c r="K214" s="12">
        <v>46189</v>
      </c>
      <c r="L214" s="21"/>
      <c r="M214" s="13"/>
    </row>
    <row r="215" spans="1:13" x14ac:dyDescent="0.3">
      <c r="A215" s="21" t="s">
        <v>8</v>
      </c>
      <c r="B215" s="21" t="s">
        <v>6</v>
      </c>
      <c r="C215" s="21" t="s">
        <v>27</v>
      </c>
      <c r="D215" s="21" t="s">
        <v>45</v>
      </c>
      <c r="E215" s="21" t="s">
        <v>58</v>
      </c>
      <c r="F215" s="22" t="s">
        <v>273</v>
      </c>
      <c r="G215" s="47">
        <v>20000</v>
      </c>
      <c r="H215" s="7" t="s">
        <v>48</v>
      </c>
      <c r="I215" s="7" t="s">
        <v>50</v>
      </c>
      <c r="J215" s="21" t="s">
        <v>52</v>
      </c>
      <c r="K215" s="12">
        <v>46189</v>
      </c>
      <c r="M215" s="13"/>
    </row>
    <row r="216" spans="1:13" x14ac:dyDescent="0.3">
      <c r="A216" s="21" t="s">
        <v>8</v>
      </c>
      <c r="B216" s="21" t="s">
        <v>6</v>
      </c>
      <c r="C216" s="21" t="s">
        <v>33</v>
      </c>
      <c r="D216" s="21" t="s">
        <v>45</v>
      </c>
      <c r="E216" s="21" t="s">
        <v>58</v>
      </c>
      <c r="F216" s="22" t="s">
        <v>274</v>
      </c>
      <c r="G216" s="47">
        <v>10000</v>
      </c>
      <c r="H216" s="7" t="s">
        <v>48</v>
      </c>
      <c r="I216" s="7" t="s">
        <v>50</v>
      </c>
      <c r="J216" s="21" t="s">
        <v>52</v>
      </c>
      <c r="K216" s="12">
        <v>46189</v>
      </c>
      <c r="M216" s="13"/>
    </row>
    <row r="217" spans="1:13" x14ac:dyDescent="0.3">
      <c r="A217" s="21" t="s">
        <v>8</v>
      </c>
      <c r="B217" s="21" t="s">
        <v>7</v>
      </c>
      <c r="C217" s="21" t="s">
        <v>33</v>
      </c>
      <c r="D217" s="21" t="s">
        <v>41</v>
      </c>
      <c r="E217" s="21" t="s">
        <v>58</v>
      </c>
      <c r="F217" s="22" t="s">
        <v>275</v>
      </c>
      <c r="G217" s="47">
        <v>13000</v>
      </c>
      <c r="H217" s="7" t="s">
        <v>48</v>
      </c>
      <c r="I217" s="7" t="s">
        <v>50</v>
      </c>
      <c r="J217" s="21" t="s">
        <v>52</v>
      </c>
      <c r="K217" s="12">
        <v>46189</v>
      </c>
      <c r="M217" s="13"/>
    </row>
    <row r="218" spans="1:13" x14ac:dyDescent="0.3">
      <c r="A218" s="21" t="s">
        <v>5</v>
      </c>
      <c r="B218" s="21" t="s">
        <v>7</v>
      </c>
      <c r="C218" s="21" t="s">
        <v>33</v>
      </c>
      <c r="D218" s="21" t="s">
        <v>37</v>
      </c>
      <c r="E218" s="21" t="s">
        <v>58</v>
      </c>
      <c r="F218" s="22" t="s">
        <v>276</v>
      </c>
      <c r="G218" s="47">
        <v>47000</v>
      </c>
      <c r="H218" s="7" t="s">
        <v>48</v>
      </c>
      <c r="I218" s="7" t="s">
        <v>50</v>
      </c>
      <c r="J218" s="21" t="s">
        <v>52</v>
      </c>
      <c r="K218" s="12">
        <v>46190</v>
      </c>
      <c r="M218" s="13"/>
    </row>
    <row r="219" spans="1:13" x14ac:dyDescent="0.3">
      <c r="A219" s="21" t="s">
        <v>8</v>
      </c>
      <c r="B219" s="21" t="s">
        <v>6</v>
      </c>
      <c r="C219" s="21" t="s">
        <v>32</v>
      </c>
      <c r="D219" s="21" t="s">
        <v>44</v>
      </c>
      <c r="E219" s="21" t="s">
        <v>58</v>
      </c>
      <c r="F219" s="22" t="s">
        <v>277</v>
      </c>
      <c r="G219" s="47">
        <v>71000</v>
      </c>
      <c r="H219" s="7" t="s">
        <v>48</v>
      </c>
      <c r="I219" s="7" t="s">
        <v>50</v>
      </c>
      <c r="J219" s="21" t="s">
        <v>53</v>
      </c>
      <c r="K219" s="12">
        <v>46183</v>
      </c>
      <c r="M219" s="13"/>
    </row>
    <row r="220" spans="1:13" x14ac:dyDescent="0.3">
      <c r="A220" s="21" t="s">
        <v>5</v>
      </c>
      <c r="B220" s="21" t="s">
        <v>6</v>
      </c>
      <c r="C220" s="21" t="s">
        <v>23</v>
      </c>
      <c r="D220" s="21" t="s">
        <v>45</v>
      </c>
      <c r="E220" s="21" t="s">
        <v>58</v>
      </c>
      <c r="F220" s="22" t="s">
        <v>278</v>
      </c>
      <c r="G220" s="47">
        <v>10000</v>
      </c>
      <c r="H220" s="7" t="s">
        <v>48</v>
      </c>
      <c r="I220" s="7" t="s">
        <v>50</v>
      </c>
      <c r="J220" s="21" t="s">
        <v>52</v>
      </c>
      <c r="K220" s="12">
        <v>46179</v>
      </c>
      <c r="M220" s="13"/>
    </row>
    <row r="221" spans="1:13" x14ac:dyDescent="0.3">
      <c r="A221" s="21" t="s">
        <v>8</v>
      </c>
      <c r="B221" s="21" t="s">
        <v>6</v>
      </c>
      <c r="C221" s="21" t="s">
        <v>27</v>
      </c>
      <c r="D221" s="21" t="s">
        <v>45</v>
      </c>
      <c r="E221" s="21" t="s">
        <v>57</v>
      </c>
      <c r="F221" s="22" t="s">
        <v>279</v>
      </c>
      <c r="G221" s="47">
        <v>200000</v>
      </c>
      <c r="H221" s="7" t="s">
        <v>48</v>
      </c>
      <c r="I221" s="7" t="s">
        <v>50</v>
      </c>
      <c r="J221" s="21" t="s">
        <v>53</v>
      </c>
      <c r="K221" s="12">
        <v>46183</v>
      </c>
      <c r="M221" s="13"/>
    </row>
    <row r="222" spans="1:13" x14ac:dyDescent="0.3">
      <c r="A222" s="21" t="s">
        <v>8</v>
      </c>
      <c r="B222" s="21" t="s">
        <v>6</v>
      </c>
      <c r="C222" s="21" t="s">
        <v>25</v>
      </c>
      <c r="D222" s="21" t="s">
        <v>37</v>
      </c>
      <c r="E222" s="21" t="s">
        <v>57</v>
      </c>
      <c r="F222" s="22" t="s">
        <v>280</v>
      </c>
      <c r="G222" s="47">
        <v>75000</v>
      </c>
      <c r="H222" s="7" t="s">
        <v>48</v>
      </c>
      <c r="I222" s="7" t="s">
        <v>50</v>
      </c>
      <c r="J222" s="21" t="s">
        <v>53</v>
      </c>
      <c r="K222" s="12">
        <v>46188</v>
      </c>
      <c r="M222" s="13"/>
    </row>
    <row r="223" spans="1:13" x14ac:dyDescent="0.3">
      <c r="A223" s="21" t="s">
        <v>5</v>
      </c>
      <c r="B223" s="21" t="s">
        <v>6</v>
      </c>
      <c r="C223" s="21" t="s">
        <v>25</v>
      </c>
      <c r="D223" s="21" t="s">
        <v>37</v>
      </c>
      <c r="E223" s="21" t="s">
        <v>57</v>
      </c>
      <c r="F223" s="22" t="s">
        <v>280</v>
      </c>
      <c r="G223" s="47">
        <v>75000</v>
      </c>
      <c r="H223" s="7" t="s">
        <v>48</v>
      </c>
      <c r="I223" s="7" t="s">
        <v>50</v>
      </c>
      <c r="J223" s="21" t="s">
        <v>53</v>
      </c>
      <c r="K223" s="12">
        <v>46188</v>
      </c>
      <c r="M223" s="13"/>
    </row>
    <row r="224" spans="1:13" x14ac:dyDescent="0.3">
      <c r="A224" s="21" t="s">
        <v>5</v>
      </c>
      <c r="B224" s="21" t="s">
        <v>6</v>
      </c>
      <c r="C224" s="21" t="s">
        <v>23</v>
      </c>
      <c r="D224" s="21" t="s">
        <v>45</v>
      </c>
      <c r="E224" s="21" t="s">
        <v>58</v>
      </c>
      <c r="F224" s="22" t="s">
        <v>281</v>
      </c>
      <c r="G224" s="47">
        <v>51000</v>
      </c>
      <c r="H224" s="7" t="s">
        <v>48</v>
      </c>
      <c r="I224" s="7" t="s">
        <v>50</v>
      </c>
      <c r="J224" s="21" t="s">
        <v>52</v>
      </c>
      <c r="K224" s="12">
        <v>46189</v>
      </c>
      <c r="M224" s="13"/>
    </row>
    <row r="225" spans="1:13" x14ac:dyDescent="0.3">
      <c r="A225" s="21" t="s">
        <v>8</v>
      </c>
      <c r="B225" s="21" t="s">
        <v>6</v>
      </c>
      <c r="C225" s="21" t="s">
        <v>30</v>
      </c>
      <c r="D225" s="21" t="s">
        <v>43</v>
      </c>
      <c r="E225" s="21" t="s">
        <v>58</v>
      </c>
      <c r="F225" s="22" t="s">
        <v>282</v>
      </c>
      <c r="G225" s="47">
        <v>570000</v>
      </c>
      <c r="H225" s="7" t="s">
        <v>48</v>
      </c>
      <c r="I225" s="7" t="s">
        <v>50</v>
      </c>
      <c r="J225" s="21" t="s">
        <v>53</v>
      </c>
      <c r="K225" s="12">
        <v>46189</v>
      </c>
      <c r="M225" s="13"/>
    </row>
    <row r="226" spans="1:13" x14ac:dyDescent="0.3">
      <c r="A226" s="21" t="s">
        <v>8</v>
      </c>
      <c r="B226" s="21" t="s">
        <v>6</v>
      </c>
      <c r="C226" s="21" t="s">
        <v>27</v>
      </c>
      <c r="D226" s="21" t="s">
        <v>44</v>
      </c>
      <c r="E226" s="21" t="s">
        <v>58</v>
      </c>
      <c r="F226" s="22" t="s">
        <v>283</v>
      </c>
      <c r="G226" s="47">
        <v>60000</v>
      </c>
      <c r="H226" s="7" t="s">
        <v>48</v>
      </c>
      <c r="I226" s="7" t="s">
        <v>50</v>
      </c>
      <c r="J226" s="21" t="s">
        <v>52</v>
      </c>
      <c r="K226" s="12">
        <v>46192</v>
      </c>
      <c r="M226" s="13"/>
    </row>
    <row r="227" spans="1:13" x14ac:dyDescent="0.3">
      <c r="A227" s="21" t="s">
        <v>8</v>
      </c>
      <c r="B227" s="21" t="s">
        <v>6</v>
      </c>
      <c r="C227" s="21" t="s">
        <v>30</v>
      </c>
      <c r="D227" s="21" t="s">
        <v>43</v>
      </c>
      <c r="E227" s="21" t="s">
        <v>58</v>
      </c>
      <c r="F227" s="22" t="s">
        <v>284</v>
      </c>
      <c r="G227" s="47">
        <v>5000</v>
      </c>
      <c r="H227" s="7" t="s">
        <v>48</v>
      </c>
      <c r="I227" s="7" t="s">
        <v>50</v>
      </c>
      <c r="J227" s="21" t="s">
        <v>52</v>
      </c>
      <c r="K227" s="12">
        <v>46193</v>
      </c>
      <c r="M227" s="13"/>
    </row>
    <row r="228" spans="1:13" x14ac:dyDescent="0.3">
      <c r="A228" s="21" t="s">
        <v>8</v>
      </c>
      <c r="B228" s="21" t="s">
        <v>6</v>
      </c>
      <c r="C228" s="21" t="s">
        <v>33</v>
      </c>
      <c r="D228" s="21" t="s">
        <v>44</v>
      </c>
      <c r="E228" s="21" t="s">
        <v>58</v>
      </c>
      <c r="F228" s="22" t="s">
        <v>285</v>
      </c>
      <c r="G228" s="47">
        <v>15000</v>
      </c>
      <c r="H228" s="7" t="s">
        <v>48</v>
      </c>
      <c r="I228" s="7" t="s">
        <v>50</v>
      </c>
      <c r="J228" s="21" t="s">
        <v>52</v>
      </c>
      <c r="K228" s="12">
        <v>46192</v>
      </c>
      <c r="M228" s="13"/>
    </row>
    <row r="229" spans="1:13" x14ac:dyDescent="0.3">
      <c r="A229" s="21" t="s">
        <v>8</v>
      </c>
      <c r="B229" s="21" t="s">
        <v>7</v>
      </c>
      <c r="C229" s="21" t="s">
        <v>32</v>
      </c>
      <c r="D229" s="21" t="s">
        <v>41</v>
      </c>
      <c r="E229" s="21" t="s">
        <v>58</v>
      </c>
      <c r="F229" s="22" t="s">
        <v>286</v>
      </c>
      <c r="G229" s="47">
        <v>10000</v>
      </c>
      <c r="H229" s="7" t="s">
        <v>48</v>
      </c>
      <c r="I229" s="7" t="s">
        <v>50</v>
      </c>
      <c r="J229" s="21" t="s">
        <v>52</v>
      </c>
      <c r="K229" s="12">
        <v>46192</v>
      </c>
      <c r="M229" s="13"/>
    </row>
    <row r="230" spans="1:13" ht="27.6" x14ac:dyDescent="0.3">
      <c r="A230" s="21" t="s">
        <v>8</v>
      </c>
      <c r="B230" s="21" t="s">
        <v>6</v>
      </c>
      <c r="C230" s="21" t="s">
        <v>27</v>
      </c>
      <c r="D230" s="21" t="s">
        <v>39</v>
      </c>
      <c r="E230" s="21" t="s">
        <v>58</v>
      </c>
      <c r="F230" s="22" t="s">
        <v>287</v>
      </c>
      <c r="G230" s="47">
        <v>17500</v>
      </c>
      <c r="H230" s="7" t="s">
        <v>48</v>
      </c>
      <c r="I230" s="7" t="s">
        <v>50</v>
      </c>
      <c r="J230" s="21" t="s">
        <v>52</v>
      </c>
      <c r="K230" s="12">
        <v>46195</v>
      </c>
      <c r="M230" s="13"/>
    </row>
    <row r="231" spans="1:13" x14ac:dyDescent="0.3">
      <c r="A231" s="21" t="s">
        <v>8</v>
      </c>
      <c r="B231" s="21" t="s">
        <v>6</v>
      </c>
      <c r="C231" s="21" t="s">
        <v>26</v>
      </c>
      <c r="D231" s="21" t="s">
        <v>39</v>
      </c>
      <c r="E231" s="21" t="s">
        <v>58</v>
      </c>
      <c r="F231" s="22" t="s">
        <v>288</v>
      </c>
      <c r="G231" s="47">
        <v>55000</v>
      </c>
      <c r="H231" s="7" t="s">
        <v>48</v>
      </c>
      <c r="I231" s="7" t="s">
        <v>50</v>
      </c>
      <c r="J231" s="21" t="s">
        <v>52</v>
      </c>
      <c r="K231" s="12">
        <v>46195</v>
      </c>
      <c r="M231" s="13"/>
    </row>
    <row r="232" spans="1:13" x14ac:dyDescent="0.3">
      <c r="A232" s="21" t="s">
        <v>8</v>
      </c>
      <c r="B232" s="21" t="s">
        <v>6</v>
      </c>
      <c r="C232" s="21" t="s">
        <v>32</v>
      </c>
      <c r="D232" s="21" t="s">
        <v>39</v>
      </c>
      <c r="E232" s="21" t="s">
        <v>58</v>
      </c>
      <c r="F232" s="22" t="s">
        <v>289</v>
      </c>
      <c r="G232" s="47">
        <v>10000</v>
      </c>
      <c r="H232" s="7" t="s">
        <v>48</v>
      </c>
      <c r="I232" s="7" t="s">
        <v>50</v>
      </c>
      <c r="J232" s="21" t="s">
        <v>52</v>
      </c>
      <c r="K232" s="12">
        <v>46195</v>
      </c>
      <c r="M232" s="13"/>
    </row>
    <row r="233" spans="1:13" ht="27.6" x14ac:dyDescent="0.3">
      <c r="A233" s="21" t="s">
        <v>8</v>
      </c>
      <c r="B233" s="21" t="s">
        <v>7</v>
      </c>
      <c r="C233" s="21" t="s">
        <v>33</v>
      </c>
      <c r="D233" s="21" t="s">
        <v>39</v>
      </c>
      <c r="E233" s="21" t="s">
        <v>58</v>
      </c>
      <c r="F233" s="22" t="s">
        <v>290</v>
      </c>
      <c r="G233" s="47">
        <v>3000</v>
      </c>
      <c r="H233" s="7" t="s">
        <v>48</v>
      </c>
      <c r="I233" s="7" t="s">
        <v>50</v>
      </c>
      <c r="J233" s="21" t="s">
        <v>52</v>
      </c>
      <c r="K233" s="12">
        <v>46195</v>
      </c>
      <c r="M233" s="13"/>
    </row>
    <row r="234" spans="1:13" x14ac:dyDescent="0.3">
      <c r="A234" s="21" t="s">
        <v>8</v>
      </c>
      <c r="B234" s="21" t="s">
        <v>7</v>
      </c>
      <c r="C234" s="21" t="s">
        <v>33</v>
      </c>
      <c r="D234" s="21" t="s">
        <v>40</v>
      </c>
      <c r="E234" s="21" t="s">
        <v>58</v>
      </c>
      <c r="F234" s="22" t="s">
        <v>291</v>
      </c>
      <c r="G234" s="47">
        <v>15000</v>
      </c>
      <c r="H234" s="7" t="s">
        <v>48</v>
      </c>
      <c r="I234" s="7" t="s">
        <v>50</v>
      </c>
      <c r="J234" s="21" t="s">
        <v>52</v>
      </c>
      <c r="K234" s="12">
        <v>46195</v>
      </c>
      <c r="M234" s="13"/>
    </row>
    <row r="235" spans="1:13" x14ac:dyDescent="0.3">
      <c r="A235" s="21" t="s">
        <v>5</v>
      </c>
      <c r="B235" s="21" t="s">
        <v>6</v>
      </c>
      <c r="C235" s="21" t="s">
        <v>33</v>
      </c>
      <c r="D235" s="21" t="s">
        <v>40</v>
      </c>
      <c r="E235" s="21" t="s">
        <v>58</v>
      </c>
      <c r="F235" s="22" t="s">
        <v>292</v>
      </c>
      <c r="G235" s="47">
        <v>15000</v>
      </c>
      <c r="H235" s="7" t="s">
        <v>48</v>
      </c>
      <c r="I235" s="7" t="s">
        <v>50</v>
      </c>
      <c r="J235" s="21" t="s">
        <v>52</v>
      </c>
      <c r="K235" s="12">
        <v>46203</v>
      </c>
      <c r="M235" s="13"/>
    </row>
    <row r="236" spans="1:13" x14ac:dyDescent="0.3">
      <c r="A236" s="21" t="s">
        <v>5</v>
      </c>
      <c r="B236" s="21" t="s">
        <v>6</v>
      </c>
      <c r="C236" s="21" t="s">
        <v>33</v>
      </c>
      <c r="D236" s="21" t="s">
        <v>40</v>
      </c>
      <c r="E236" s="21" t="s">
        <v>58</v>
      </c>
      <c r="F236" s="22" t="s">
        <v>293</v>
      </c>
      <c r="G236" s="47">
        <v>46000</v>
      </c>
      <c r="H236" s="7" t="s">
        <v>48</v>
      </c>
      <c r="I236" s="7" t="s">
        <v>50</v>
      </c>
      <c r="J236" s="21" t="s">
        <v>52</v>
      </c>
      <c r="K236" s="12">
        <v>46177</v>
      </c>
      <c r="M236" s="13"/>
    </row>
    <row r="237" spans="1:13" x14ac:dyDescent="0.3">
      <c r="A237" s="21" t="s">
        <v>5</v>
      </c>
      <c r="B237" s="21" t="s">
        <v>6</v>
      </c>
      <c r="C237" s="21" t="s">
        <v>23</v>
      </c>
      <c r="D237" s="21" t="s">
        <v>45</v>
      </c>
      <c r="E237" s="21" t="s">
        <v>58</v>
      </c>
      <c r="F237" s="22" t="s">
        <v>294</v>
      </c>
      <c r="G237" s="47">
        <v>8000</v>
      </c>
      <c r="H237" s="7" t="s">
        <v>48</v>
      </c>
      <c r="I237" s="7" t="s">
        <v>50</v>
      </c>
      <c r="J237" s="21" t="s">
        <v>52</v>
      </c>
      <c r="K237" s="12">
        <v>46177</v>
      </c>
      <c r="M237" s="13"/>
    </row>
    <row r="238" spans="1:13" x14ac:dyDescent="0.3">
      <c r="A238" s="21" t="s">
        <v>5</v>
      </c>
      <c r="B238" s="21" t="s">
        <v>6</v>
      </c>
      <c r="C238" s="21" t="s">
        <v>30</v>
      </c>
      <c r="D238" s="21" t="s">
        <v>40</v>
      </c>
      <c r="E238" s="21" t="s">
        <v>58</v>
      </c>
      <c r="F238" s="22" t="s">
        <v>295</v>
      </c>
      <c r="G238" s="47">
        <v>42000</v>
      </c>
      <c r="H238" s="7" t="s">
        <v>48</v>
      </c>
      <c r="I238" s="7" t="s">
        <v>50</v>
      </c>
      <c r="J238" s="21" t="s">
        <v>52</v>
      </c>
      <c r="K238" s="12">
        <v>46177</v>
      </c>
      <c r="M238" s="13"/>
    </row>
    <row r="239" spans="1:13" x14ac:dyDescent="0.3">
      <c r="A239" s="21" t="s">
        <v>5</v>
      </c>
      <c r="B239" s="21" t="s">
        <v>6</v>
      </c>
      <c r="C239" s="21" t="s">
        <v>30</v>
      </c>
      <c r="D239" s="21" t="s">
        <v>37</v>
      </c>
      <c r="E239" s="21" t="s">
        <v>58</v>
      </c>
      <c r="F239" s="22" t="s">
        <v>296</v>
      </c>
      <c r="G239" s="47">
        <v>9500</v>
      </c>
      <c r="H239" s="7" t="s">
        <v>48</v>
      </c>
      <c r="I239" s="7" t="s">
        <v>50</v>
      </c>
      <c r="J239" s="21" t="s">
        <v>52</v>
      </c>
      <c r="K239" s="12">
        <v>46195</v>
      </c>
      <c r="M239" s="13"/>
    </row>
    <row r="240" spans="1:13" x14ac:dyDescent="0.3">
      <c r="A240" s="21" t="s">
        <v>5</v>
      </c>
      <c r="B240" s="21" t="s">
        <v>6</v>
      </c>
      <c r="C240" s="21" t="s">
        <v>30</v>
      </c>
      <c r="D240" s="21" t="s">
        <v>43</v>
      </c>
      <c r="E240" s="21" t="s">
        <v>58</v>
      </c>
      <c r="F240" s="22" t="s">
        <v>297</v>
      </c>
      <c r="G240" s="47">
        <v>60000</v>
      </c>
      <c r="H240" s="7" t="s">
        <v>48</v>
      </c>
      <c r="I240" s="7" t="s">
        <v>50</v>
      </c>
      <c r="J240" s="21" t="s">
        <v>52</v>
      </c>
      <c r="K240" s="12">
        <v>46191</v>
      </c>
      <c r="M240" s="13"/>
    </row>
    <row r="241" spans="1:13" ht="27.6" x14ac:dyDescent="0.3">
      <c r="A241" s="21" t="s">
        <v>5</v>
      </c>
      <c r="B241" s="21" t="s">
        <v>6</v>
      </c>
      <c r="C241" s="21" t="s">
        <v>25</v>
      </c>
      <c r="D241" s="21" t="s">
        <v>45</v>
      </c>
      <c r="E241" s="21" t="s">
        <v>58</v>
      </c>
      <c r="F241" s="22" t="s">
        <v>298</v>
      </c>
      <c r="G241" s="47">
        <v>9500</v>
      </c>
      <c r="H241" s="7" t="s">
        <v>48</v>
      </c>
      <c r="I241" s="7" t="s">
        <v>50</v>
      </c>
      <c r="J241" s="21" t="s">
        <v>52</v>
      </c>
      <c r="K241" s="12">
        <v>46191</v>
      </c>
      <c r="M241" s="13"/>
    </row>
    <row r="242" spans="1:13" x14ac:dyDescent="0.3">
      <c r="A242" s="21" t="s">
        <v>5</v>
      </c>
      <c r="B242" s="21" t="s">
        <v>6</v>
      </c>
      <c r="C242" s="21" t="s">
        <v>23</v>
      </c>
      <c r="D242" s="21" t="s">
        <v>39</v>
      </c>
      <c r="E242" s="21" t="s">
        <v>58</v>
      </c>
      <c r="F242" s="22" t="s">
        <v>299</v>
      </c>
      <c r="G242" s="47">
        <v>4000</v>
      </c>
      <c r="H242" s="7" t="s">
        <v>48</v>
      </c>
      <c r="I242" s="7" t="s">
        <v>50</v>
      </c>
      <c r="J242" s="21" t="s">
        <v>52</v>
      </c>
      <c r="K242" s="12">
        <v>46203</v>
      </c>
      <c r="M242" s="13"/>
    </row>
    <row r="243" spans="1:13" x14ac:dyDescent="0.3">
      <c r="A243" s="21" t="s">
        <v>5</v>
      </c>
      <c r="B243" s="21" t="s">
        <v>6</v>
      </c>
      <c r="C243" s="21" t="s">
        <v>23</v>
      </c>
      <c r="D243" s="21" t="s">
        <v>45</v>
      </c>
      <c r="E243" s="21" t="s">
        <v>58</v>
      </c>
      <c r="F243" s="22" t="s">
        <v>300</v>
      </c>
      <c r="G243" s="47">
        <v>32000</v>
      </c>
      <c r="H243" s="7" t="s">
        <v>48</v>
      </c>
      <c r="I243" s="7" t="s">
        <v>50</v>
      </c>
      <c r="J243" s="21" t="s">
        <v>52</v>
      </c>
      <c r="K243" s="12">
        <v>46203</v>
      </c>
      <c r="M243" s="13"/>
    </row>
    <row r="244" spans="1:13" x14ac:dyDescent="0.3">
      <c r="A244" s="21" t="s">
        <v>5</v>
      </c>
      <c r="B244" s="21" t="s">
        <v>6</v>
      </c>
      <c r="C244" s="21" t="s">
        <v>25</v>
      </c>
      <c r="D244" s="21" t="s">
        <v>39</v>
      </c>
      <c r="E244" s="21" t="s">
        <v>58</v>
      </c>
      <c r="F244" s="22" t="s">
        <v>301</v>
      </c>
      <c r="G244" s="47">
        <v>10000</v>
      </c>
      <c r="H244" s="7" t="s">
        <v>48</v>
      </c>
      <c r="I244" s="7" t="s">
        <v>50</v>
      </c>
      <c r="J244" s="21" t="s">
        <v>52</v>
      </c>
      <c r="K244" s="12">
        <v>46203</v>
      </c>
      <c r="M244" s="13"/>
    </row>
    <row r="245" spans="1:13" x14ac:dyDescent="0.3">
      <c r="A245" s="21" t="s">
        <v>5</v>
      </c>
      <c r="B245" s="21" t="s">
        <v>6</v>
      </c>
      <c r="C245" s="21" t="s">
        <v>25</v>
      </c>
      <c r="D245" s="21" t="s">
        <v>45</v>
      </c>
      <c r="E245" s="21" t="s">
        <v>58</v>
      </c>
      <c r="F245" s="22" t="s">
        <v>302</v>
      </c>
      <c r="G245" s="47">
        <v>6500</v>
      </c>
      <c r="H245" s="7" t="s">
        <v>48</v>
      </c>
      <c r="I245" s="7" t="s">
        <v>50</v>
      </c>
      <c r="J245" s="21" t="s">
        <v>52</v>
      </c>
      <c r="K245" s="12">
        <v>46203</v>
      </c>
      <c r="M245" s="13"/>
    </row>
    <row r="246" spans="1:13" x14ac:dyDescent="0.3">
      <c r="A246" s="21" t="s">
        <v>5</v>
      </c>
      <c r="B246" s="21" t="s">
        <v>6</v>
      </c>
      <c r="C246" s="21" t="s">
        <v>23</v>
      </c>
      <c r="D246" s="21" t="s">
        <v>45</v>
      </c>
      <c r="E246" s="21" t="s">
        <v>58</v>
      </c>
      <c r="F246" s="22" t="s">
        <v>303</v>
      </c>
      <c r="G246" s="47">
        <v>15000</v>
      </c>
      <c r="H246" s="7" t="s">
        <v>48</v>
      </c>
      <c r="I246" s="7" t="s">
        <v>50</v>
      </c>
      <c r="J246" s="21" t="s">
        <v>52</v>
      </c>
      <c r="K246" s="12">
        <v>46203</v>
      </c>
      <c r="M246" s="13"/>
    </row>
    <row r="247" spans="1:13" x14ac:dyDescent="0.3">
      <c r="A247" s="21" t="s">
        <v>5</v>
      </c>
      <c r="B247" s="21" t="s">
        <v>6</v>
      </c>
      <c r="C247" s="21" t="s">
        <v>27</v>
      </c>
      <c r="D247" s="21" t="s">
        <v>45</v>
      </c>
      <c r="E247" s="21" t="s">
        <v>58</v>
      </c>
      <c r="F247" s="22" t="s">
        <v>304</v>
      </c>
      <c r="G247" s="47">
        <v>28000</v>
      </c>
      <c r="H247" s="7" t="s">
        <v>48</v>
      </c>
      <c r="I247" s="7" t="s">
        <v>50</v>
      </c>
      <c r="J247" s="21" t="s">
        <v>52</v>
      </c>
      <c r="K247" s="12">
        <v>46202</v>
      </c>
      <c r="M247" s="13"/>
    </row>
    <row r="248" spans="1:13" x14ac:dyDescent="0.3">
      <c r="A248" s="21" t="s">
        <v>5</v>
      </c>
      <c r="B248" s="21" t="s">
        <v>6</v>
      </c>
      <c r="C248" s="21" t="s">
        <v>27</v>
      </c>
      <c r="D248" s="21" t="s">
        <v>45</v>
      </c>
      <c r="E248" s="21" t="s">
        <v>58</v>
      </c>
      <c r="F248" s="22" t="s">
        <v>305</v>
      </c>
      <c r="G248" s="47">
        <v>35000</v>
      </c>
      <c r="H248" s="7" t="s">
        <v>48</v>
      </c>
      <c r="I248" s="7" t="s">
        <v>50</v>
      </c>
      <c r="J248" s="21" t="s">
        <v>52</v>
      </c>
      <c r="K248" s="12">
        <v>46202</v>
      </c>
      <c r="M248" s="13"/>
    </row>
    <row r="249" spans="1:13" x14ac:dyDescent="0.3">
      <c r="A249" s="21" t="s">
        <v>5</v>
      </c>
      <c r="B249" s="21" t="s">
        <v>6</v>
      </c>
      <c r="C249" s="21" t="s">
        <v>28</v>
      </c>
      <c r="D249" s="21" t="s">
        <v>45</v>
      </c>
      <c r="E249" s="21" t="s">
        <v>58</v>
      </c>
      <c r="F249" s="22" t="s">
        <v>306</v>
      </c>
      <c r="G249" s="47">
        <v>70000</v>
      </c>
      <c r="H249" s="7" t="s">
        <v>48</v>
      </c>
      <c r="I249" s="7" t="s">
        <v>50</v>
      </c>
      <c r="J249" s="21" t="s">
        <v>52</v>
      </c>
      <c r="K249" s="12">
        <v>46202</v>
      </c>
      <c r="M249" s="13"/>
    </row>
    <row r="250" spans="1:13" x14ac:dyDescent="0.3">
      <c r="A250" s="21" t="s">
        <v>5</v>
      </c>
      <c r="B250" s="21" t="s">
        <v>6</v>
      </c>
      <c r="C250" s="21" t="s">
        <v>33</v>
      </c>
      <c r="D250" s="21" t="s">
        <v>40</v>
      </c>
      <c r="E250" s="21" t="s">
        <v>58</v>
      </c>
      <c r="F250" s="22" t="s">
        <v>307</v>
      </c>
      <c r="G250" s="47">
        <v>15000</v>
      </c>
      <c r="H250" s="7" t="s">
        <v>48</v>
      </c>
      <c r="I250" s="7" t="s">
        <v>50</v>
      </c>
      <c r="J250" s="21" t="s">
        <v>52</v>
      </c>
      <c r="K250" s="12">
        <v>46190</v>
      </c>
      <c r="M250" s="13"/>
    </row>
    <row r="251" spans="1:13" x14ac:dyDescent="0.3">
      <c r="A251" s="21" t="s">
        <v>5</v>
      </c>
      <c r="B251" s="21" t="s">
        <v>6</v>
      </c>
      <c r="C251" s="21" t="s">
        <v>23</v>
      </c>
      <c r="D251" s="21" t="s">
        <v>45</v>
      </c>
      <c r="E251" s="21" t="s">
        <v>58</v>
      </c>
      <c r="F251" s="22" t="s">
        <v>308</v>
      </c>
      <c r="G251" s="47">
        <v>22500</v>
      </c>
      <c r="H251" s="7" t="s">
        <v>48</v>
      </c>
      <c r="I251" s="7" t="s">
        <v>50</v>
      </c>
      <c r="J251" s="21" t="s">
        <v>52</v>
      </c>
      <c r="K251" s="12">
        <v>46193</v>
      </c>
      <c r="M251" s="13"/>
    </row>
    <row r="252" spans="1:13" x14ac:dyDescent="0.3">
      <c r="A252" s="21" t="s">
        <v>5</v>
      </c>
      <c r="B252" s="21" t="s">
        <v>6</v>
      </c>
      <c r="C252" s="21" t="s">
        <v>27</v>
      </c>
      <c r="D252" s="21" t="s">
        <v>45</v>
      </c>
      <c r="E252" s="21" t="s">
        <v>58</v>
      </c>
      <c r="F252" s="22" t="s">
        <v>309</v>
      </c>
      <c r="G252" s="47">
        <v>64000</v>
      </c>
      <c r="H252" s="7" t="s">
        <v>48</v>
      </c>
      <c r="I252" s="7" t="s">
        <v>50</v>
      </c>
      <c r="J252" s="21" t="s">
        <v>52</v>
      </c>
      <c r="K252" s="12">
        <v>46193</v>
      </c>
      <c r="M252" s="13"/>
    </row>
    <row r="253" spans="1:13" x14ac:dyDescent="0.3">
      <c r="A253" s="21" t="s">
        <v>5</v>
      </c>
      <c r="B253" s="21" t="s">
        <v>6</v>
      </c>
      <c r="C253" s="21" t="s">
        <v>27</v>
      </c>
      <c r="D253" s="21" t="s">
        <v>45</v>
      </c>
      <c r="E253" s="21" t="s">
        <v>58</v>
      </c>
      <c r="F253" s="22" t="s">
        <v>310</v>
      </c>
      <c r="G253" s="47">
        <v>8000</v>
      </c>
      <c r="H253" s="7" t="s">
        <v>48</v>
      </c>
      <c r="I253" s="7" t="s">
        <v>50</v>
      </c>
      <c r="J253" s="21" t="s">
        <v>52</v>
      </c>
      <c r="K253" s="12">
        <v>46193</v>
      </c>
      <c r="M253" s="13"/>
    </row>
    <row r="254" spans="1:13" x14ac:dyDescent="0.3">
      <c r="A254" s="21" t="s">
        <v>5</v>
      </c>
      <c r="B254" s="21" t="s">
        <v>6</v>
      </c>
      <c r="C254" s="21" t="s">
        <v>27</v>
      </c>
      <c r="D254" s="21" t="s">
        <v>45</v>
      </c>
      <c r="E254" s="21" t="s">
        <v>58</v>
      </c>
      <c r="F254" s="22" t="s">
        <v>311</v>
      </c>
      <c r="G254" s="47">
        <v>8000</v>
      </c>
      <c r="H254" s="7" t="s">
        <v>48</v>
      </c>
      <c r="I254" s="7" t="s">
        <v>50</v>
      </c>
      <c r="J254" s="21" t="s">
        <v>52</v>
      </c>
      <c r="K254" s="12">
        <v>46193</v>
      </c>
      <c r="M254" s="13"/>
    </row>
    <row r="255" spans="1:13" ht="27.6" x14ac:dyDescent="0.3">
      <c r="A255" s="21" t="s">
        <v>5</v>
      </c>
      <c r="B255" s="21" t="s">
        <v>6</v>
      </c>
      <c r="C255" s="21" t="s">
        <v>33</v>
      </c>
      <c r="D255" s="21" t="s">
        <v>37</v>
      </c>
      <c r="E255" s="21" t="s">
        <v>58</v>
      </c>
      <c r="F255" s="22" t="s">
        <v>312</v>
      </c>
      <c r="G255" s="47">
        <v>65500</v>
      </c>
      <c r="H255" s="7" t="s">
        <v>48</v>
      </c>
      <c r="I255" s="7" t="s">
        <v>50</v>
      </c>
      <c r="J255" s="21" t="s">
        <v>52</v>
      </c>
      <c r="K255" s="12">
        <v>46192</v>
      </c>
      <c r="M255" s="13"/>
    </row>
    <row r="256" spans="1:13" x14ac:dyDescent="0.3">
      <c r="A256" s="21" t="s">
        <v>5</v>
      </c>
      <c r="B256" s="21" t="s">
        <v>6</v>
      </c>
      <c r="C256" s="21" t="s">
        <v>33</v>
      </c>
      <c r="D256" s="21" t="s">
        <v>37</v>
      </c>
      <c r="E256" s="21" t="s">
        <v>58</v>
      </c>
      <c r="F256" s="22" t="s">
        <v>313</v>
      </c>
      <c r="G256" s="47">
        <v>31500</v>
      </c>
      <c r="H256" s="7" t="s">
        <v>48</v>
      </c>
      <c r="I256" s="7" t="s">
        <v>50</v>
      </c>
      <c r="J256" s="21" t="s">
        <v>52</v>
      </c>
      <c r="K256" s="12">
        <v>46192</v>
      </c>
      <c r="M256" s="13"/>
    </row>
    <row r="257" spans="1:13" x14ac:dyDescent="0.3">
      <c r="A257" s="24" t="s">
        <v>5</v>
      </c>
      <c r="B257" s="24" t="s">
        <v>7</v>
      </c>
      <c r="C257" s="24" t="s">
        <v>31</v>
      </c>
      <c r="D257" s="24" t="s">
        <v>37</v>
      </c>
      <c r="E257" s="24" t="s">
        <v>57</v>
      </c>
      <c r="F257" s="25" t="s">
        <v>124</v>
      </c>
      <c r="G257" s="47">
        <v>823000</v>
      </c>
      <c r="H257" s="5" t="s">
        <v>47</v>
      </c>
      <c r="I257" s="5" t="s">
        <v>50</v>
      </c>
      <c r="J257" s="24" t="s">
        <v>53</v>
      </c>
      <c r="K257" s="28">
        <v>46199</v>
      </c>
      <c r="M257" s="13"/>
    </row>
    <row r="258" spans="1:13" x14ac:dyDescent="0.3">
      <c r="A258" s="24" t="s">
        <v>5</v>
      </c>
      <c r="B258" s="24" t="s">
        <v>6</v>
      </c>
      <c r="C258" s="24" t="s">
        <v>31</v>
      </c>
      <c r="D258" s="24" t="s">
        <v>37</v>
      </c>
      <c r="E258" s="24" t="s">
        <v>57</v>
      </c>
      <c r="F258" s="25" t="s">
        <v>126</v>
      </c>
      <c r="G258" s="47">
        <v>1646000</v>
      </c>
      <c r="H258" s="5" t="s">
        <v>47</v>
      </c>
      <c r="I258" s="5" t="s">
        <v>50</v>
      </c>
      <c r="J258" s="24" t="s">
        <v>53</v>
      </c>
      <c r="K258" s="28">
        <v>46199</v>
      </c>
      <c r="M258" s="13"/>
    </row>
    <row r="259" spans="1:13" x14ac:dyDescent="0.3">
      <c r="M259" s="13"/>
    </row>
    <row r="260" spans="1:13" x14ac:dyDescent="0.3">
      <c r="M260" s="13"/>
    </row>
    <row r="261" spans="1:13" x14ac:dyDescent="0.3">
      <c r="M261" s="13"/>
    </row>
    <row r="262" spans="1:13" x14ac:dyDescent="0.3">
      <c r="M262" s="13"/>
    </row>
    <row r="263" spans="1:13" x14ac:dyDescent="0.3">
      <c r="M263" s="13"/>
    </row>
    <row r="264" spans="1:13" x14ac:dyDescent="0.3">
      <c r="M264" s="13"/>
    </row>
    <row r="265" spans="1:13" x14ac:dyDescent="0.3">
      <c r="M265" s="13"/>
    </row>
    <row r="266" spans="1:13" x14ac:dyDescent="0.3">
      <c r="M266" s="13"/>
    </row>
    <row r="267" spans="1:13" x14ac:dyDescent="0.3">
      <c r="M267" s="13"/>
    </row>
    <row r="268" spans="1:13" x14ac:dyDescent="0.3">
      <c r="M268" s="13"/>
    </row>
    <row r="269" spans="1:13" x14ac:dyDescent="0.3">
      <c r="M269" s="13"/>
    </row>
    <row r="270" spans="1:13" x14ac:dyDescent="0.3">
      <c r="M270" s="13"/>
    </row>
    <row r="271" spans="1:13" x14ac:dyDescent="0.3">
      <c r="M271" s="13"/>
    </row>
    <row r="272" spans="1:13" x14ac:dyDescent="0.3">
      <c r="M272" s="13"/>
    </row>
    <row r="273" spans="13:13" x14ac:dyDescent="0.3">
      <c r="M273" s="13"/>
    </row>
    <row r="274" spans="13:13" x14ac:dyDescent="0.3">
      <c r="M274" s="13"/>
    </row>
    <row r="275" spans="13:13" x14ac:dyDescent="0.3">
      <c r="M275" s="13"/>
    </row>
    <row r="276" spans="13:13" x14ac:dyDescent="0.3">
      <c r="M276" s="13"/>
    </row>
    <row r="277" spans="13:13" x14ac:dyDescent="0.3">
      <c r="M277" s="13"/>
    </row>
    <row r="278" spans="13:13" x14ac:dyDescent="0.3">
      <c r="M278" s="13"/>
    </row>
    <row r="279" spans="13:13" x14ac:dyDescent="0.3">
      <c r="M279" s="13"/>
    </row>
    <row r="280" spans="13:13" x14ac:dyDescent="0.3">
      <c r="M280" s="13"/>
    </row>
    <row r="281" spans="13:13" x14ac:dyDescent="0.3">
      <c r="M281" s="13"/>
    </row>
    <row r="282" spans="13:13" x14ac:dyDescent="0.3">
      <c r="M282" s="13"/>
    </row>
    <row r="283" spans="13:13" x14ac:dyDescent="0.3">
      <c r="M283" s="13"/>
    </row>
    <row r="284" spans="13:13" x14ac:dyDescent="0.3">
      <c r="M284" s="13"/>
    </row>
    <row r="285" spans="13:13" x14ac:dyDescent="0.3">
      <c r="M285" s="13"/>
    </row>
    <row r="286" spans="13:13" x14ac:dyDescent="0.3">
      <c r="M286" s="13"/>
    </row>
    <row r="287" spans="13:13" x14ac:dyDescent="0.3">
      <c r="M287" s="13"/>
    </row>
    <row r="288" spans="13:13" x14ac:dyDescent="0.3">
      <c r="M288" s="13"/>
    </row>
    <row r="289" spans="13:13" x14ac:dyDescent="0.3">
      <c r="M289" s="13"/>
    </row>
    <row r="290" spans="13:13" x14ac:dyDescent="0.3">
      <c r="M290" s="13"/>
    </row>
    <row r="291" spans="13:13" x14ac:dyDescent="0.3">
      <c r="M291" s="13"/>
    </row>
    <row r="292" spans="13:13" x14ac:dyDescent="0.3">
      <c r="M292" s="13"/>
    </row>
    <row r="293" spans="13:13" x14ac:dyDescent="0.3">
      <c r="M293" s="13"/>
    </row>
    <row r="294" spans="13:13" x14ac:dyDescent="0.3">
      <c r="M294" s="13"/>
    </row>
    <row r="295" spans="13:13" x14ac:dyDescent="0.3">
      <c r="M295" s="13"/>
    </row>
    <row r="296" spans="13:13" x14ac:dyDescent="0.3">
      <c r="M296" s="13"/>
    </row>
    <row r="297" spans="13:13" x14ac:dyDescent="0.3">
      <c r="M297" s="13"/>
    </row>
    <row r="298" spans="13:13" x14ac:dyDescent="0.3">
      <c r="M298" s="13"/>
    </row>
    <row r="299" spans="13:13" x14ac:dyDescent="0.3">
      <c r="M299" s="13"/>
    </row>
    <row r="300" spans="13:13" x14ac:dyDescent="0.3">
      <c r="M300" s="13"/>
    </row>
    <row r="301" spans="13:13" x14ac:dyDescent="0.3">
      <c r="M301" s="13"/>
    </row>
    <row r="302" spans="13:13" x14ac:dyDescent="0.3">
      <c r="M302" s="13"/>
    </row>
    <row r="303" spans="13:13" x14ac:dyDescent="0.3">
      <c r="M303" s="13"/>
    </row>
    <row r="304" spans="13:13" x14ac:dyDescent="0.3">
      <c r="M304" s="13"/>
    </row>
    <row r="305" spans="13:13" x14ac:dyDescent="0.3">
      <c r="M305" s="13"/>
    </row>
    <row r="306" spans="13:13" x14ac:dyDescent="0.3">
      <c r="M306" s="13"/>
    </row>
    <row r="307" spans="13:13" x14ac:dyDescent="0.3">
      <c r="M307" s="13"/>
    </row>
    <row r="308" spans="13:13" x14ac:dyDescent="0.3">
      <c r="M308" s="13"/>
    </row>
    <row r="309" spans="13:13" x14ac:dyDescent="0.3">
      <c r="M309" s="13"/>
    </row>
    <row r="310" spans="13:13" x14ac:dyDescent="0.3">
      <c r="M310" s="13"/>
    </row>
    <row r="311" spans="13:13" x14ac:dyDescent="0.3">
      <c r="M311" s="13"/>
    </row>
    <row r="312" spans="13:13" x14ac:dyDescent="0.3">
      <c r="M312" s="13"/>
    </row>
    <row r="313" spans="13:13" x14ac:dyDescent="0.3">
      <c r="M313" s="13"/>
    </row>
    <row r="314" spans="13:13" x14ac:dyDescent="0.3">
      <c r="M314" s="13"/>
    </row>
    <row r="315" spans="13:13" x14ac:dyDescent="0.3">
      <c r="M315" s="13"/>
    </row>
    <row r="316" spans="13:13" x14ac:dyDescent="0.3">
      <c r="M316" s="13"/>
    </row>
    <row r="317" spans="13:13" x14ac:dyDescent="0.3">
      <c r="M317" s="13"/>
    </row>
    <row r="318" spans="13:13" x14ac:dyDescent="0.3">
      <c r="M318" s="13"/>
    </row>
    <row r="319" spans="13:13" x14ac:dyDescent="0.3">
      <c r="M319" s="13"/>
    </row>
    <row r="320" spans="13:13" x14ac:dyDescent="0.3">
      <c r="M320" s="13"/>
    </row>
    <row r="321" spans="13:13" x14ac:dyDescent="0.3">
      <c r="M321" s="13"/>
    </row>
    <row r="322" spans="13:13" x14ac:dyDescent="0.3">
      <c r="M322" s="13"/>
    </row>
    <row r="323" spans="13:13" x14ac:dyDescent="0.3">
      <c r="M323" s="13"/>
    </row>
    <row r="324" spans="13:13" x14ac:dyDescent="0.3">
      <c r="M324" s="13"/>
    </row>
    <row r="325" spans="13:13" x14ac:dyDescent="0.3">
      <c r="M325" s="13"/>
    </row>
    <row r="326" spans="13:13" x14ac:dyDescent="0.3">
      <c r="M326" s="13"/>
    </row>
    <row r="327" spans="13:13" x14ac:dyDescent="0.3">
      <c r="M327" s="13"/>
    </row>
    <row r="328" spans="13:13" x14ac:dyDescent="0.3">
      <c r="M328" s="13"/>
    </row>
    <row r="329" spans="13:13" x14ac:dyDescent="0.3">
      <c r="M329" s="13"/>
    </row>
    <row r="330" spans="13:13" x14ac:dyDescent="0.3">
      <c r="M330" s="13"/>
    </row>
    <row r="331" spans="13:13" x14ac:dyDescent="0.3">
      <c r="M331" s="13"/>
    </row>
    <row r="332" spans="13:13" x14ac:dyDescent="0.3">
      <c r="M332" s="13"/>
    </row>
    <row r="333" spans="13:13" x14ac:dyDescent="0.3">
      <c r="M333" s="13"/>
    </row>
    <row r="334" spans="13:13" x14ac:dyDescent="0.3">
      <c r="M334" s="13"/>
    </row>
    <row r="335" spans="13:13" x14ac:dyDescent="0.3">
      <c r="M335" s="13"/>
    </row>
    <row r="336" spans="13:13" x14ac:dyDescent="0.3">
      <c r="M336" s="13"/>
    </row>
    <row r="337" spans="13:13" x14ac:dyDescent="0.3">
      <c r="M337" s="13"/>
    </row>
    <row r="338" spans="13:13" x14ac:dyDescent="0.3">
      <c r="M338" s="13"/>
    </row>
    <row r="339" spans="13:13" x14ac:dyDescent="0.3">
      <c r="M339" s="13"/>
    </row>
    <row r="340" spans="13:13" x14ac:dyDescent="0.3">
      <c r="M340" s="13"/>
    </row>
    <row r="341" spans="13:13" x14ac:dyDescent="0.3">
      <c r="M341" s="13"/>
    </row>
    <row r="342" spans="13:13" x14ac:dyDescent="0.3">
      <c r="M342" s="13"/>
    </row>
    <row r="343" spans="13:13" x14ac:dyDescent="0.3">
      <c r="M343" s="13"/>
    </row>
    <row r="344" spans="13:13" x14ac:dyDescent="0.3">
      <c r="M344" s="13"/>
    </row>
    <row r="345" spans="13:13" x14ac:dyDescent="0.3">
      <c r="M345" s="13"/>
    </row>
    <row r="346" spans="13:13" x14ac:dyDescent="0.3">
      <c r="M346" s="13"/>
    </row>
    <row r="347" spans="13:13" x14ac:dyDescent="0.3">
      <c r="M347" s="13"/>
    </row>
    <row r="348" spans="13:13" x14ac:dyDescent="0.3">
      <c r="M348" s="13"/>
    </row>
    <row r="349" spans="13:13" x14ac:dyDescent="0.3">
      <c r="M349" s="13"/>
    </row>
    <row r="350" spans="13:13" x14ac:dyDescent="0.3">
      <c r="M350" s="13"/>
    </row>
    <row r="351" spans="13:13" x14ac:dyDescent="0.3">
      <c r="M351" s="13"/>
    </row>
    <row r="352" spans="13:13" x14ac:dyDescent="0.3">
      <c r="M352" s="13"/>
    </row>
    <row r="353" spans="13:13" x14ac:dyDescent="0.3">
      <c r="M353" s="13"/>
    </row>
    <row r="354" spans="13:13" x14ac:dyDescent="0.3">
      <c r="M354" s="13"/>
    </row>
    <row r="355" spans="13:13" x14ac:dyDescent="0.3">
      <c r="M355" s="13"/>
    </row>
    <row r="356" spans="13:13" x14ac:dyDescent="0.3">
      <c r="M356" s="13"/>
    </row>
    <row r="357" spans="13:13" x14ac:dyDescent="0.3">
      <c r="M357" s="13"/>
    </row>
    <row r="358" spans="13:13" x14ac:dyDescent="0.3">
      <c r="M358" s="13"/>
    </row>
    <row r="359" spans="13:13" x14ac:dyDescent="0.3">
      <c r="M359" s="13"/>
    </row>
    <row r="360" spans="13:13" x14ac:dyDescent="0.3">
      <c r="M360" s="13"/>
    </row>
    <row r="361" spans="13:13" x14ac:dyDescent="0.3">
      <c r="M361" s="13"/>
    </row>
    <row r="362" spans="13:13" x14ac:dyDescent="0.3">
      <c r="M362" s="13"/>
    </row>
    <row r="363" spans="13:13" x14ac:dyDescent="0.3">
      <c r="M363" s="13"/>
    </row>
    <row r="364" spans="13:13" x14ac:dyDescent="0.3">
      <c r="M364" s="13"/>
    </row>
    <row r="365" spans="13:13" x14ac:dyDescent="0.3">
      <c r="M365" s="13"/>
    </row>
    <row r="366" spans="13:13" x14ac:dyDescent="0.3">
      <c r="M366" s="13"/>
    </row>
    <row r="367" spans="13:13" x14ac:dyDescent="0.3">
      <c r="M367" s="13"/>
    </row>
    <row r="368" spans="13:13" x14ac:dyDescent="0.3">
      <c r="M368" s="13"/>
    </row>
    <row r="369" spans="13:13" x14ac:dyDescent="0.3">
      <c r="M369" s="13"/>
    </row>
    <row r="370" spans="13:13" x14ac:dyDescent="0.3">
      <c r="M370" s="13"/>
    </row>
    <row r="371" spans="13:13" x14ac:dyDescent="0.3">
      <c r="M371" s="13"/>
    </row>
    <row r="372" spans="13:13" x14ac:dyDescent="0.3">
      <c r="M372" s="13"/>
    </row>
    <row r="373" spans="13:13" x14ac:dyDescent="0.3">
      <c r="M373" s="13"/>
    </row>
    <row r="374" spans="13:13" x14ac:dyDescent="0.3">
      <c r="M374" s="13"/>
    </row>
    <row r="375" spans="13:13" x14ac:dyDescent="0.3">
      <c r="M375" s="13"/>
    </row>
    <row r="376" spans="13:13" x14ac:dyDescent="0.3">
      <c r="M376" s="13"/>
    </row>
    <row r="377" spans="13:13" x14ac:dyDescent="0.3">
      <c r="M377" s="13"/>
    </row>
    <row r="378" spans="13:13" x14ac:dyDescent="0.3">
      <c r="M378" s="13"/>
    </row>
    <row r="379" spans="13:13" x14ac:dyDescent="0.3">
      <c r="M379" s="13"/>
    </row>
    <row r="380" spans="13:13" x14ac:dyDescent="0.3">
      <c r="M380" s="13"/>
    </row>
    <row r="381" spans="13:13" x14ac:dyDescent="0.3">
      <c r="M381" s="13"/>
    </row>
    <row r="382" spans="13:13" x14ac:dyDescent="0.3">
      <c r="M382" s="13"/>
    </row>
    <row r="383" spans="13:13" x14ac:dyDescent="0.3">
      <c r="M383" s="13"/>
    </row>
    <row r="384" spans="13:13" x14ac:dyDescent="0.3">
      <c r="M384" s="13"/>
    </row>
    <row r="385" spans="13:13" x14ac:dyDescent="0.3">
      <c r="M385" s="13"/>
    </row>
    <row r="386" spans="13:13" x14ac:dyDescent="0.3">
      <c r="M386" s="13"/>
    </row>
    <row r="387" spans="13:13" x14ac:dyDescent="0.3">
      <c r="M387" s="13"/>
    </row>
    <row r="388" spans="13:13" x14ac:dyDescent="0.3">
      <c r="M388" s="13"/>
    </row>
    <row r="389" spans="13:13" x14ac:dyDescent="0.3">
      <c r="M389" s="13"/>
    </row>
    <row r="390" spans="13:13" x14ac:dyDescent="0.3">
      <c r="M390" s="13"/>
    </row>
    <row r="391" spans="13:13" x14ac:dyDescent="0.3">
      <c r="M391" s="13"/>
    </row>
    <row r="392" spans="13:13" x14ac:dyDescent="0.3">
      <c r="M392" s="13"/>
    </row>
    <row r="393" spans="13:13" x14ac:dyDescent="0.3">
      <c r="M393" s="13"/>
    </row>
    <row r="394" spans="13:13" x14ac:dyDescent="0.3">
      <c r="M394" s="13"/>
    </row>
    <row r="395" spans="13:13" x14ac:dyDescent="0.3">
      <c r="M395" s="13"/>
    </row>
    <row r="396" spans="13:13" x14ac:dyDescent="0.3">
      <c r="M396" s="13"/>
    </row>
    <row r="397" spans="13:13" x14ac:dyDescent="0.3">
      <c r="M397" s="13"/>
    </row>
    <row r="398" spans="13:13" x14ac:dyDescent="0.3">
      <c r="M398" s="13"/>
    </row>
    <row r="399" spans="13:13" x14ac:dyDescent="0.3">
      <c r="M399" s="13"/>
    </row>
    <row r="400" spans="13:13" x14ac:dyDescent="0.3">
      <c r="M400" s="13"/>
    </row>
    <row r="401" spans="13:13" x14ac:dyDescent="0.3">
      <c r="M401" s="13"/>
    </row>
    <row r="402" spans="13:13" x14ac:dyDescent="0.3">
      <c r="M402" s="13"/>
    </row>
    <row r="403" spans="13:13" x14ac:dyDescent="0.3">
      <c r="M403" s="13"/>
    </row>
    <row r="404" spans="13:13" x14ac:dyDescent="0.3">
      <c r="M404" s="13"/>
    </row>
    <row r="405" spans="13:13" x14ac:dyDescent="0.3">
      <c r="M405" s="13"/>
    </row>
    <row r="406" spans="13:13" x14ac:dyDescent="0.3">
      <c r="M406" s="13"/>
    </row>
    <row r="407" spans="13:13" x14ac:dyDescent="0.3">
      <c r="M407" s="13"/>
    </row>
    <row r="408" spans="13:13" x14ac:dyDescent="0.3">
      <c r="M408" s="13"/>
    </row>
    <row r="409" spans="13:13" x14ac:dyDescent="0.3">
      <c r="M409" s="13"/>
    </row>
    <row r="410" spans="13:13" x14ac:dyDescent="0.3">
      <c r="M410" s="13"/>
    </row>
    <row r="411" spans="13:13" x14ac:dyDescent="0.3">
      <c r="M411" s="13"/>
    </row>
    <row r="412" spans="13:13" x14ac:dyDescent="0.3">
      <c r="M412" s="13"/>
    </row>
    <row r="413" spans="13:13" x14ac:dyDescent="0.3">
      <c r="M413" s="13"/>
    </row>
    <row r="414" spans="13:13" x14ac:dyDescent="0.3">
      <c r="M414" s="13"/>
    </row>
    <row r="415" spans="13:13" x14ac:dyDescent="0.3">
      <c r="M415" s="13"/>
    </row>
    <row r="416" spans="13:13" x14ac:dyDescent="0.3">
      <c r="M416" s="13"/>
    </row>
    <row r="417" spans="13:13" x14ac:dyDescent="0.3">
      <c r="M417" s="13"/>
    </row>
    <row r="418" spans="13:13" x14ac:dyDescent="0.3">
      <c r="M418" s="13"/>
    </row>
    <row r="419" spans="13:13" x14ac:dyDescent="0.3">
      <c r="M419" s="13"/>
    </row>
    <row r="420" spans="13:13" x14ac:dyDescent="0.3">
      <c r="M420" s="13"/>
    </row>
    <row r="421" spans="13:13" x14ac:dyDescent="0.3">
      <c r="M421" s="13"/>
    </row>
    <row r="422" spans="13:13" x14ac:dyDescent="0.3">
      <c r="M422" s="13"/>
    </row>
    <row r="423" spans="13:13" x14ac:dyDescent="0.3">
      <c r="M423" s="13"/>
    </row>
    <row r="424" spans="13:13" x14ac:dyDescent="0.3">
      <c r="M424" s="13"/>
    </row>
    <row r="425" spans="13:13" x14ac:dyDescent="0.3">
      <c r="M425" s="13"/>
    </row>
    <row r="426" spans="13:13" x14ac:dyDescent="0.3">
      <c r="M426" s="13"/>
    </row>
    <row r="427" spans="13:13" x14ac:dyDescent="0.3">
      <c r="M427" s="13"/>
    </row>
    <row r="428" spans="13:13" x14ac:dyDescent="0.3">
      <c r="M428" s="13"/>
    </row>
    <row r="429" spans="13:13" x14ac:dyDescent="0.3">
      <c r="M429" s="13"/>
    </row>
    <row r="430" spans="13:13" x14ac:dyDescent="0.3">
      <c r="M430" s="13"/>
    </row>
    <row r="431" spans="13:13" x14ac:dyDescent="0.3">
      <c r="M431" s="13"/>
    </row>
    <row r="432" spans="13:13" x14ac:dyDescent="0.3">
      <c r="M432" s="13"/>
    </row>
    <row r="433" spans="13:13" x14ac:dyDescent="0.3">
      <c r="M433" s="13"/>
    </row>
    <row r="434" spans="13:13" x14ac:dyDescent="0.3">
      <c r="M434" s="13"/>
    </row>
    <row r="435" spans="13:13" x14ac:dyDescent="0.3">
      <c r="M435" s="13"/>
    </row>
    <row r="436" spans="13:13" x14ac:dyDescent="0.3">
      <c r="M436" s="13"/>
    </row>
    <row r="437" spans="13:13" x14ac:dyDescent="0.3">
      <c r="M437" s="13"/>
    </row>
    <row r="438" spans="13:13" x14ac:dyDescent="0.3">
      <c r="M438" s="13"/>
    </row>
    <row r="439" spans="13:13" x14ac:dyDescent="0.3">
      <c r="M439" s="13"/>
    </row>
    <row r="440" spans="13:13" x14ac:dyDescent="0.3">
      <c r="M440" s="13"/>
    </row>
    <row r="441" spans="13:13" x14ac:dyDescent="0.3">
      <c r="M441" s="13"/>
    </row>
    <row r="442" spans="13:13" x14ac:dyDescent="0.3">
      <c r="M442" s="13"/>
    </row>
    <row r="443" spans="13:13" x14ac:dyDescent="0.3">
      <c r="M443" s="13"/>
    </row>
    <row r="444" spans="13:13" x14ac:dyDescent="0.3">
      <c r="M444" s="13"/>
    </row>
    <row r="445" spans="13:13" x14ac:dyDescent="0.3">
      <c r="M445" s="13"/>
    </row>
    <row r="446" spans="13:13" x14ac:dyDescent="0.3">
      <c r="M446" s="13"/>
    </row>
    <row r="447" spans="13:13" x14ac:dyDescent="0.3">
      <c r="M447" s="13"/>
    </row>
    <row r="448" spans="13:13" x14ac:dyDescent="0.3">
      <c r="M448" s="13"/>
    </row>
    <row r="449" spans="13:13" x14ac:dyDescent="0.3">
      <c r="M449" s="13"/>
    </row>
    <row r="450" spans="13:13" x14ac:dyDescent="0.3">
      <c r="M450" s="13"/>
    </row>
    <row r="451" spans="13:13" x14ac:dyDescent="0.3">
      <c r="M451" s="13"/>
    </row>
    <row r="452" spans="13:13" x14ac:dyDescent="0.3">
      <c r="M452" s="13"/>
    </row>
    <row r="453" spans="13:13" x14ac:dyDescent="0.3">
      <c r="M453" s="13"/>
    </row>
    <row r="454" spans="13:13" x14ac:dyDescent="0.3">
      <c r="M454" s="13"/>
    </row>
    <row r="455" spans="13:13" x14ac:dyDescent="0.3">
      <c r="M455" s="13"/>
    </row>
    <row r="456" spans="13:13" x14ac:dyDescent="0.3">
      <c r="M456" s="13"/>
    </row>
    <row r="457" spans="13:13" x14ac:dyDescent="0.3">
      <c r="M457" s="13"/>
    </row>
    <row r="458" spans="13:13" x14ac:dyDescent="0.3">
      <c r="M458" s="13"/>
    </row>
    <row r="459" spans="13:13" x14ac:dyDescent="0.3">
      <c r="M459" s="13"/>
    </row>
    <row r="460" spans="13:13" x14ac:dyDescent="0.3">
      <c r="M460" s="13"/>
    </row>
    <row r="461" spans="13:13" x14ac:dyDescent="0.3">
      <c r="M461" s="13"/>
    </row>
    <row r="462" spans="13:13" x14ac:dyDescent="0.3">
      <c r="M462" s="13"/>
    </row>
    <row r="463" spans="13:13" x14ac:dyDescent="0.3">
      <c r="M463" s="13"/>
    </row>
    <row r="464" spans="13:13" x14ac:dyDescent="0.3">
      <c r="M464" s="13"/>
    </row>
    <row r="465" spans="13:13" x14ac:dyDescent="0.3">
      <c r="M465" s="13"/>
    </row>
    <row r="466" spans="13:13" x14ac:dyDescent="0.3">
      <c r="M466" s="13"/>
    </row>
    <row r="467" spans="13:13" x14ac:dyDescent="0.3">
      <c r="M467" s="13"/>
    </row>
    <row r="468" spans="13:13" x14ac:dyDescent="0.3">
      <c r="M468" s="13"/>
    </row>
    <row r="469" spans="13:13" x14ac:dyDescent="0.3">
      <c r="M469" s="13"/>
    </row>
    <row r="470" spans="13:13" x14ac:dyDescent="0.3">
      <c r="M470" s="13"/>
    </row>
    <row r="471" spans="13:13" x14ac:dyDescent="0.3">
      <c r="M471" s="13"/>
    </row>
    <row r="472" spans="13:13" x14ac:dyDescent="0.3">
      <c r="M472" s="13"/>
    </row>
    <row r="473" spans="13:13" x14ac:dyDescent="0.3">
      <c r="M473" s="13"/>
    </row>
    <row r="474" spans="13:13" x14ac:dyDescent="0.3">
      <c r="M474" s="13"/>
    </row>
    <row r="475" spans="13:13" x14ac:dyDescent="0.3">
      <c r="M475" s="13"/>
    </row>
    <row r="476" spans="13:13" x14ac:dyDescent="0.3">
      <c r="M476" s="13"/>
    </row>
    <row r="477" spans="13:13" x14ac:dyDescent="0.3">
      <c r="M477" s="13"/>
    </row>
    <row r="478" spans="13:13" x14ac:dyDescent="0.3">
      <c r="M478" s="13"/>
    </row>
    <row r="479" spans="13:13" x14ac:dyDescent="0.3">
      <c r="M479" s="13"/>
    </row>
    <row r="480" spans="13:13" x14ac:dyDescent="0.3">
      <c r="M480" s="13"/>
    </row>
    <row r="481" spans="13:13" x14ac:dyDescent="0.3">
      <c r="M481" s="13"/>
    </row>
    <row r="482" spans="13:13" x14ac:dyDescent="0.3">
      <c r="M482" s="13"/>
    </row>
    <row r="483" spans="13:13" x14ac:dyDescent="0.3">
      <c r="M483" s="13"/>
    </row>
    <row r="484" spans="13:13" x14ac:dyDescent="0.3">
      <c r="M484" s="13"/>
    </row>
    <row r="485" spans="13:13" x14ac:dyDescent="0.3">
      <c r="M485" s="13"/>
    </row>
    <row r="486" spans="13:13" x14ac:dyDescent="0.3">
      <c r="M486" s="13"/>
    </row>
    <row r="487" spans="13:13" x14ac:dyDescent="0.3">
      <c r="M487" s="13"/>
    </row>
    <row r="488" spans="13:13" x14ac:dyDescent="0.3">
      <c r="M488" s="13"/>
    </row>
    <row r="489" spans="13:13" x14ac:dyDescent="0.3">
      <c r="M489" s="13"/>
    </row>
    <row r="490" spans="13:13" x14ac:dyDescent="0.3">
      <c r="M490" s="13"/>
    </row>
    <row r="491" spans="13:13" x14ac:dyDescent="0.3">
      <c r="M491" s="13"/>
    </row>
    <row r="492" spans="13:13" x14ac:dyDescent="0.3">
      <c r="M492" s="13"/>
    </row>
    <row r="493" spans="13:13" x14ac:dyDescent="0.3">
      <c r="M493" s="13"/>
    </row>
    <row r="494" spans="13:13" x14ac:dyDescent="0.3">
      <c r="M494" s="13"/>
    </row>
    <row r="495" spans="13:13" x14ac:dyDescent="0.3">
      <c r="M495" s="13"/>
    </row>
    <row r="496" spans="13:13" x14ac:dyDescent="0.3">
      <c r="M496" s="13"/>
    </row>
    <row r="497" spans="13:13" x14ac:dyDescent="0.3">
      <c r="M497" s="13"/>
    </row>
    <row r="498" spans="13:13" x14ac:dyDescent="0.3">
      <c r="M498" s="13"/>
    </row>
    <row r="499" spans="13:13" x14ac:dyDescent="0.3">
      <c r="M499" s="13"/>
    </row>
    <row r="500" spans="13:13" x14ac:dyDescent="0.3">
      <c r="M500" s="13"/>
    </row>
    <row r="501" spans="13:13" x14ac:dyDescent="0.3">
      <c r="M501" s="13"/>
    </row>
    <row r="502" spans="13:13" x14ac:dyDescent="0.3">
      <c r="M502" s="13"/>
    </row>
    <row r="503" spans="13:13" x14ac:dyDescent="0.3">
      <c r="M503" s="13"/>
    </row>
    <row r="504" spans="13:13" x14ac:dyDescent="0.3">
      <c r="M504" s="13"/>
    </row>
    <row r="505" spans="13:13" x14ac:dyDescent="0.3">
      <c r="M505" s="13"/>
    </row>
    <row r="506" spans="13:13" x14ac:dyDescent="0.3">
      <c r="M506" s="13"/>
    </row>
    <row r="507" spans="13:13" x14ac:dyDescent="0.3">
      <c r="M507" s="13"/>
    </row>
    <row r="508" spans="13:13" x14ac:dyDescent="0.3">
      <c r="M508" s="13"/>
    </row>
    <row r="509" spans="13:13" x14ac:dyDescent="0.3">
      <c r="M509" s="13"/>
    </row>
    <row r="510" spans="13:13" x14ac:dyDescent="0.3">
      <c r="M510" s="13"/>
    </row>
    <row r="511" spans="13:13" x14ac:dyDescent="0.3">
      <c r="M511" s="13"/>
    </row>
    <row r="512" spans="13:13" x14ac:dyDescent="0.3">
      <c r="M512" s="13"/>
    </row>
    <row r="513" spans="13:13" x14ac:dyDescent="0.3">
      <c r="M513" s="13"/>
    </row>
    <row r="514" spans="13:13" x14ac:dyDescent="0.3">
      <c r="M514" s="13"/>
    </row>
    <row r="515" spans="13:13" x14ac:dyDescent="0.3">
      <c r="M515" s="13"/>
    </row>
    <row r="516" spans="13:13" x14ac:dyDescent="0.3">
      <c r="M516" s="13"/>
    </row>
    <row r="517" spans="13:13" x14ac:dyDescent="0.3">
      <c r="M517" s="13"/>
    </row>
    <row r="518" spans="13:13" x14ac:dyDescent="0.3">
      <c r="M518" s="13"/>
    </row>
    <row r="519" spans="13:13" x14ac:dyDescent="0.3">
      <c r="M519" s="13"/>
    </row>
    <row r="520" spans="13:13" x14ac:dyDescent="0.3">
      <c r="M520" s="13"/>
    </row>
    <row r="521" spans="13:13" x14ac:dyDescent="0.3">
      <c r="M521" s="13"/>
    </row>
    <row r="522" spans="13:13" x14ac:dyDescent="0.3">
      <c r="M522" s="13"/>
    </row>
    <row r="523" spans="13:13" x14ac:dyDescent="0.3">
      <c r="M523" s="13"/>
    </row>
    <row r="524" spans="13:13" x14ac:dyDescent="0.3">
      <c r="M524" s="13"/>
    </row>
    <row r="525" spans="13:13" x14ac:dyDescent="0.3">
      <c r="M525" s="13"/>
    </row>
    <row r="526" spans="13:13" x14ac:dyDescent="0.3">
      <c r="M526" s="13"/>
    </row>
    <row r="527" spans="13:13" x14ac:dyDescent="0.3">
      <c r="M527" s="13"/>
    </row>
    <row r="528" spans="13:13" x14ac:dyDescent="0.3">
      <c r="M528" s="13"/>
    </row>
    <row r="529" spans="13:13" x14ac:dyDescent="0.3">
      <c r="M529" s="13"/>
    </row>
    <row r="530" spans="13:13" x14ac:dyDescent="0.3">
      <c r="M530" s="13"/>
    </row>
    <row r="531" spans="13:13" x14ac:dyDescent="0.3">
      <c r="M531" s="13"/>
    </row>
    <row r="532" spans="13:13" x14ac:dyDescent="0.3">
      <c r="M532" s="13"/>
    </row>
    <row r="533" spans="13:13" x14ac:dyDescent="0.3">
      <c r="M533" s="13"/>
    </row>
    <row r="534" spans="13:13" x14ac:dyDescent="0.3">
      <c r="M534" s="13"/>
    </row>
    <row r="535" spans="13:13" x14ac:dyDescent="0.3">
      <c r="M535" s="13"/>
    </row>
    <row r="536" spans="13:13" x14ac:dyDescent="0.3">
      <c r="M536" s="13"/>
    </row>
    <row r="537" spans="13:13" x14ac:dyDescent="0.3">
      <c r="M537" s="13"/>
    </row>
    <row r="538" spans="13:13" x14ac:dyDescent="0.3">
      <c r="M538" s="13"/>
    </row>
    <row r="539" spans="13:13" x14ac:dyDescent="0.3">
      <c r="M539" s="13"/>
    </row>
    <row r="540" spans="13:13" x14ac:dyDescent="0.3">
      <c r="M540" s="13"/>
    </row>
    <row r="541" spans="13:13" x14ac:dyDescent="0.3">
      <c r="M541" s="13"/>
    </row>
    <row r="542" spans="13:13" x14ac:dyDescent="0.3">
      <c r="M542" s="13"/>
    </row>
    <row r="543" spans="13:13" x14ac:dyDescent="0.3">
      <c r="M543" s="13"/>
    </row>
    <row r="544" spans="13:13" x14ac:dyDescent="0.3">
      <c r="M544" s="13"/>
    </row>
    <row r="545" spans="13:13" x14ac:dyDescent="0.3">
      <c r="M545" s="13"/>
    </row>
    <row r="546" spans="13:13" x14ac:dyDescent="0.3">
      <c r="M546" s="13"/>
    </row>
    <row r="547" spans="13:13" x14ac:dyDescent="0.3">
      <c r="M547" s="13"/>
    </row>
    <row r="548" spans="13:13" x14ac:dyDescent="0.3">
      <c r="M548" s="13"/>
    </row>
    <row r="549" spans="13:13" x14ac:dyDescent="0.3">
      <c r="M549" s="13"/>
    </row>
    <row r="550" spans="13:13" x14ac:dyDescent="0.3">
      <c r="M550" s="13"/>
    </row>
    <row r="551" spans="13:13" x14ac:dyDescent="0.3">
      <c r="M551" s="13"/>
    </row>
    <row r="552" spans="13:13" x14ac:dyDescent="0.3">
      <c r="M552" s="13"/>
    </row>
    <row r="553" spans="13:13" x14ac:dyDescent="0.3">
      <c r="M553" s="13"/>
    </row>
    <row r="554" spans="13:13" x14ac:dyDescent="0.3">
      <c r="M554" s="13"/>
    </row>
    <row r="555" spans="13:13" x14ac:dyDescent="0.3">
      <c r="M555" s="13"/>
    </row>
    <row r="556" spans="13:13" x14ac:dyDescent="0.3">
      <c r="M556" s="13"/>
    </row>
    <row r="557" spans="13:13" x14ac:dyDescent="0.3">
      <c r="M557" s="13"/>
    </row>
    <row r="558" spans="13:13" x14ac:dyDescent="0.3">
      <c r="M558" s="13"/>
    </row>
    <row r="559" spans="13:13" x14ac:dyDescent="0.3">
      <c r="M559" s="13"/>
    </row>
    <row r="560" spans="13:13" x14ac:dyDescent="0.3">
      <c r="M560" s="13"/>
    </row>
    <row r="561" spans="13:13" x14ac:dyDescent="0.3">
      <c r="M561" s="13"/>
    </row>
    <row r="562" spans="13:13" x14ac:dyDescent="0.3">
      <c r="M562" s="13"/>
    </row>
    <row r="563" spans="13:13" x14ac:dyDescent="0.3">
      <c r="M563" s="13"/>
    </row>
    <row r="564" spans="13:13" x14ac:dyDescent="0.3">
      <c r="M564" s="13"/>
    </row>
    <row r="565" spans="13:13" x14ac:dyDescent="0.3">
      <c r="M565" s="13"/>
    </row>
    <row r="566" spans="13:13" x14ac:dyDescent="0.3">
      <c r="M566" s="13"/>
    </row>
    <row r="567" spans="13:13" x14ac:dyDescent="0.3">
      <c r="M567" s="13"/>
    </row>
    <row r="568" spans="13:13" x14ac:dyDescent="0.3">
      <c r="M568" s="13"/>
    </row>
    <row r="569" spans="13:13" x14ac:dyDescent="0.3">
      <c r="M569" s="13"/>
    </row>
    <row r="570" spans="13:13" x14ac:dyDescent="0.3">
      <c r="M570" s="13"/>
    </row>
    <row r="571" spans="13:13" x14ac:dyDescent="0.3">
      <c r="M571" s="13"/>
    </row>
    <row r="572" spans="13:13" x14ac:dyDescent="0.3">
      <c r="M572" s="13"/>
    </row>
    <row r="573" spans="13:13" x14ac:dyDescent="0.3">
      <c r="M573" s="13"/>
    </row>
    <row r="574" spans="13:13" x14ac:dyDescent="0.3">
      <c r="M574" s="13"/>
    </row>
    <row r="575" spans="13:13" x14ac:dyDescent="0.3">
      <c r="M575" s="13"/>
    </row>
    <row r="576" spans="13:13" x14ac:dyDescent="0.3">
      <c r="M576" s="13"/>
    </row>
    <row r="577" spans="13:13" x14ac:dyDescent="0.3">
      <c r="M577" s="13"/>
    </row>
    <row r="578" spans="13:13" x14ac:dyDescent="0.3">
      <c r="M578" s="13"/>
    </row>
    <row r="579" spans="13:13" x14ac:dyDescent="0.3">
      <c r="M579" s="13"/>
    </row>
    <row r="580" spans="13:13" x14ac:dyDescent="0.3">
      <c r="M580" s="13"/>
    </row>
    <row r="581" spans="13:13" x14ac:dyDescent="0.3">
      <c r="M581" s="13"/>
    </row>
    <row r="582" spans="13:13" x14ac:dyDescent="0.3">
      <c r="M582" s="13"/>
    </row>
    <row r="583" spans="13:13" x14ac:dyDescent="0.3">
      <c r="M583" s="13"/>
    </row>
    <row r="584" spans="13:13" x14ac:dyDescent="0.3">
      <c r="M584" s="13"/>
    </row>
    <row r="585" spans="13:13" x14ac:dyDescent="0.3">
      <c r="M585" s="13"/>
    </row>
    <row r="586" spans="13:13" x14ac:dyDescent="0.3">
      <c r="M586" s="13"/>
    </row>
    <row r="587" spans="13:13" x14ac:dyDescent="0.3">
      <c r="M587" s="13"/>
    </row>
    <row r="588" spans="13:13" x14ac:dyDescent="0.3">
      <c r="M588" s="13"/>
    </row>
    <row r="589" spans="13:13" x14ac:dyDescent="0.3">
      <c r="M589" s="13"/>
    </row>
    <row r="590" spans="13:13" x14ac:dyDescent="0.3">
      <c r="M590" s="13"/>
    </row>
    <row r="591" spans="13:13" x14ac:dyDescent="0.3">
      <c r="M591" s="13"/>
    </row>
    <row r="592" spans="13:13" x14ac:dyDescent="0.3">
      <c r="M592" s="13"/>
    </row>
    <row r="593" spans="13:13" x14ac:dyDescent="0.3">
      <c r="M593" s="13"/>
    </row>
    <row r="594" spans="13:13" x14ac:dyDescent="0.3">
      <c r="M594" s="13"/>
    </row>
    <row r="595" spans="13:13" x14ac:dyDescent="0.3">
      <c r="M595" s="13"/>
    </row>
    <row r="596" spans="13:13" x14ac:dyDescent="0.3">
      <c r="M596" s="13"/>
    </row>
    <row r="597" spans="13:13" x14ac:dyDescent="0.3">
      <c r="M597" s="13"/>
    </row>
    <row r="598" spans="13:13" x14ac:dyDescent="0.3">
      <c r="M598" s="13"/>
    </row>
    <row r="599" spans="13:13" x14ac:dyDescent="0.3">
      <c r="M599" s="13"/>
    </row>
    <row r="600" spans="13:13" x14ac:dyDescent="0.3">
      <c r="M600" s="13"/>
    </row>
    <row r="601" spans="13:13" x14ac:dyDescent="0.3">
      <c r="M601" s="13"/>
    </row>
    <row r="602" spans="13:13" x14ac:dyDescent="0.3">
      <c r="M602" s="13"/>
    </row>
    <row r="603" spans="13:13" x14ac:dyDescent="0.3">
      <c r="M603" s="13"/>
    </row>
    <row r="604" spans="13:13" x14ac:dyDescent="0.3">
      <c r="M604" s="13"/>
    </row>
    <row r="605" spans="13:13" x14ac:dyDescent="0.3">
      <c r="M605" s="13"/>
    </row>
    <row r="606" spans="13:13" x14ac:dyDescent="0.3">
      <c r="M606" s="13"/>
    </row>
    <row r="607" spans="13:13" x14ac:dyDescent="0.3">
      <c r="M607" s="13"/>
    </row>
    <row r="608" spans="13:13" x14ac:dyDescent="0.3">
      <c r="M608" s="13"/>
    </row>
    <row r="609" spans="13:13" x14ac:dyDescent="0.3">
      <c r="M609" s="13"/>
    </row>
    <row r="610" spans="13:13" x14ac:dyDescent="0.3">
      <c r="M610" s="13"/>
    </row>
    <row r="611" spans="13:13" x14ac:dyDescent="0.3">
      <c r="M611" s="13"/>
    </row>
    <row r="612" spans="13:13" x14ac:dyDescent="0.3">
      <c r="M612" s="13"/>
    </row>
    <row r="613" spans="13:13" x14ac:dyDescent="0.3">
      <c r="M613" s="13"/>
    </row>
    <row r="614" spans="13:13" x14ac:dyDescent="0.3">
      <c r="M614" s="13"/>
    </row>
    <row r="615" spans="13:13" x14ac:dyDescent="0.3">
      <c r="M615" s="13"/>
    </row>
    <row r="616" spans="13:13" x14ac:dyDescent="0.3">
      <c r="M616" s="13"/>
    </row>
    <row r="617" spans="13:13" x14ac:dyDescent="0.3">
      <c r="M617" s="13"/>
    </row>
    <row r="618" spans="13:13" x14ac:dyDescent="0.3">
      <c r="M618" s="13"/>
    </row>
    <row r="619" spans="13:13" x14ac:dyDescent="0.3">
      <c r="M619" s="13"/>
    </row>
    <row r="620" spans="13:13" x14ac:dyDescent="0.3">
      <c r="M620" s="13"/>
    </row>
    <row r="621" spans="13:13" x14ac:dyDescent="0.3">
      <c r="M621" s="13"/>
    </row>
    <row r="622" spans="13:13" x14ac:dyDescent="0.3">
      <c r="M622" s="13"/>
    </row>
    <row r="623" spans="13:13" x14ac:dyDescent="0.3">
      <c r="M623" s="13"/>
    </row>
    <row r="624" spans="13:13" x14ac:dyDescent="0.3">
      <c r="M624" s="13"/>
    </row>
    <row r="625" spans="13:13" x14ac:dyDescent="0.3">
      <c r="M625" s="13"/>
    </row>
    <row r="626" spans="13:13" x14ac:dyDescent="0.3">
      <c r="M626" s="13"/>
    </row>
    <row r="627" spans="13:13" x14ac:dyDescent="0.3">
      <c r="M627" s="13"/>
    </row>
    <row r="628" spans="13:13" x14ac:dyDescent="0.3">
      <c r="M628" s="13"/>
    </row>
    <row r="629" spans="13:13" x14ac:dyDescent="0.3">
      <c r="M629" s="13"/>
    </row>
    <row r="630" spans="13:13" x14ac:dyDescent="0.3">
      <c r="M630" s="13"/>
    </row>
    <row r="631" spans="13:13" x14ac:dyDescent="0.3">
      <c r="M631" s="13"/>
    </row>
    <row r="632" spans="13:13" x14ac:dyDescent="0.3">
      <c r="M632" s="13"/>
    </row>
    <row r="633" spans="13:13" x14ac:dyDescent="0.3">
      <c r="M633" s="13"/>
    </row>
    <row r="634" spans="13:13" x14ac:dyDescent="0.3">
      <c r="M634" s="13"/>
    </row>
    <row r="635" spans="13:13" x14ac:dyDescent="0.3">
      <c r="M635" s="13"/>
    </row>
    <row r="636" spans="13:13" x14ac:dyDescent="0.3">
      <c r="M636" s="13"/>
    </row>
    <row r="637" spans="13:13" x14ac:dyDescent="0.3">
      <c r="M637" s="13"/>
    </row>
    <row r="638" spans="13:13" x14ac:dyDescent="0.3">
      <c r="M638" s="13"/>
    </row>
    <row r="639" spans="13:13" x14ac:dyDescent="0.3">
      <c r="M639" s="13"/>
    </row>
    <row r="640" spans="13:13" x14ac:dyDescent="0.3">
      <c r="M640" s="13"/>
    </row>
    <row r="641" spans="13:13" x14ac:dyDescent="0.3">
      <c r="M641" s="13"/>
    </row>
    <row r="642" spans="13:13" x14ac:dyDescent="0.3">
      <c r="M642" s="13"/>
    </row>
    <row r="643" spans="13:13" x14ac:dyDescent="0.3">
      <c r="M643" s="13"/>
    </row>
    <row r="644" spans="13:13" x14ac:dyDescent="0.3">
      <c r="M644" s="13"/>
    </row>
    <row r="645" spans="13:13" x14ac:dyDescent="0.3">
      <c r="M645" s="13"/>
    </row>
    <row r="646" spans="13:13" x14ac:dyDescent="0.3">
      <c r="M646" s="13"/>
    </row>
    <row r="647" spans="13:13" x14ac:dyDescent="0.3">
      <c r="M647" s="13"/>
    </row>
    <row r="648" spans="13:13" x14ac:dyDescent="0.3">
      <c r="M648" s="13"/>
    </row>
    <row r="649" spans="13:13" x14ac:dyDescent="0.3">
      <c r="M649" s="13"/>
    </row>
    <row r="650" spans="13:13" x14ac:dyDescent="0.3">
      <c r="M650" s="13"/>
    </row>
    <row r="651" spans="13:13" x14ac:dyDescent="0.3">
      <c r="M651" s="13"/>
    </row>
    <row r="652" spans="13:13" x14ac:dyDescent="0.3">
      <c r="M652" s="13"/>
    </row>
    <row r="653" spans="13:13" x14ac:dyDescent="0.3">
      <c r="M653" s="13"/>
    </row>
    <row r="654" spans="13:13" x14ac:dyDescent="0.3">
      <c r="M654" s="13"/>
    </row>
    <row r="655" spans="13:13" x14ac:dyDescent="0.3">
      <c r="M655" s="13"/>
    </row>
    <row r="656" spans="13:13" x14ac:dyDescent="0.3">
      <c r="M656" s="13"/>
    </row>
    <row r="657" spans="13:13" x14ac:dyDescent="0.3">
      <c r="M657" s="13"/>
    </row>
    <row r="658" spans="13:13" x14ac:dyDescent="0.3">
      <c r="M658" s="13"/>
    </row>
    <row r="659" spans="13:13" x14ac:dyDescent="0.3">
      <c r="M659" s="13"/>
    </row>
    <row r="660" spans="13:13" x14ac:dyDescent="0.3">
      <c r="M660" s="13"/>
    </row>
    <row r="661" spans="13:13" x14ac:dyDescent="0.3">
      <c r="M661" s="13"/>
    </row>
    <row r="662" spans="13:13" x14ac:dyDescent="0.3">
      <c r="M662" s="13"/>
    </row>
    <row r="663" spans="13:13" x14ac:dyDescent="0.3">
      <c r="M663" s="13"/>
    </row>
    <row r="664" spans="13:13" x14ac:dyDescent="0.3">
      <c r="M664" s="13"/>
    </row>
    <row r="665" spans="13:13" x14ac:dyDescent="0.3">
      <c r="M665" s="13"/>
    </row>
    <row r="666" spans="13:13" x14ac:dyDescent="0.3">
      <c r="M666" s="13"/>
    </row>
    <row r="667" spans="13:13" x14ac:dyDescent="0.3">
      <c r="M667" s="13"/>
    </row>
    <row r="668" spans="13:13" x14ac:dyDescent="0.3">
      <c r="M668" s="13"/>
    </row>
    <row r="669" spans="13:13" x14ac:dyDescent="0.3">
      <c r="M669" s="13"/>
    </row>
    <row r="670" spans="13:13" x14ac:dyDescent="0.3">
      <c r="M670" s="13"/>
    </row>
    <row r="671" spans="13:13" x14ac:dyDescent="0.3">
      <c r="M671" s="13"/>
    </row>
    <row r="672" spans="13:13" x14ac:dyDescent="0.3">
      <c r="M672" s="13"/>
    </row>
    <row r="673" spans="13:13" x14ac:dyDescent="0.3">
      <c r="M673" s="13"/>
    </row>
    <row r="674" spans="13:13" x14ac:dyDescent="0.3">
      <c r="M674" s="13"/>
    </row>
    <row r="675" spans="13:13" x14ac:dyDescent="0.3">
      <c r="M675" s="13"/>
    </row>
    <row r="676" spans="13:13" x14ac:dyDescent="0.3">
      <c r="M676" s="13"/>
    </row>
    <row r="677" spans="13:13" x14ac:dyDescent="0.3">
      <c r="M677" s="13"/>
    </row>
    <row r="678" spans="13:13" x14ac:dyDescent="0.3">
      <c r="M678" s="13"/>
    </row>
    <row r="679" spans="13:13" x14ac:dyDescent="0.3">
      <c r="M679" s="13"/>
    </row>
    <row r="680" spans="13:13" x14ac:dyDescent="0.3">
      <c r="M680" s="13"/>
    </row>
    <row r="681" spans="13:13" x14ac:dyDescent="0.3">
      <c r="M681" s="13"/>
    </row>
    <row r="682" spans="13:13" x14ac:dyDescent="0.3">
      <c r="M682" s="13"/>
    </row>
    <row r="683" spans="13:13" x14ac:dyDescent="0.3">
      <c r="M683" s="13"/>
    </row>
    <row r="684" spans="13:13" x14ac:dyDescent="0.3">
      <c r="M684" s="13"/>
    </row>
    <row r="685" spans="13:13" x14ac:dyDescent="0.3">
      <c r="M685" s="13"/>
    </row>
    <row r="686" spans="13:13" x14ac:dyDescent="0.3">
      <c r="M686" s="13"/>
    </row>
    <row r="687" spans="13:13" x14ac:dyDescent="0.3">
      <c r="M687" s="13"/>
    </row>
    <row r="688" spans="13:13" x14ac:dyDescent="0.3">
      <c r="M688" s="13"/>
    </row>
    <row r="689" spans="13:13" x14ac:dyDescent="0.3">
      <c r="M689" s="13"/>
    </row>
    <row r="690" spans="13:13" x14ac:dyDescent="0.3">
      <c r="M690" s="13"/>
    </row>
    <row r="691" spans="13:13" x14ac:dyDescent="0.3">
      <c r="M691" s="13"/>
    </row>
    <row r="692" spans="13:13" x14ac:dyDescent="0.3">
      <c r="M692" s="13"/>
    </row>
    <row r="693" spans="13:13" x14ac:dyDescent="0.3">
      <c r="M693" s="13"/>
    </row>
    <row r="694" spans="13:13" x14ac:dyDescent="0.3">
      <c r="M694" s="13"/>
    </row>
    <row r="695" spans="13:13" x14ac:dyDescent="0.3">
      <c r="M695" s="13"/>
    </row>
    <row r="696" spans="13:13" x14ac:dyDescent="0.3">
      <c r="M696" s="13"/>
    </row>
    <row r="697" spans="13:13" x14ac:dyDescent="0.3">
      <c r="M697" s="13"/>
    </row>
    <row r="698" spans="13:13" x14ac:dyDescent="0.3">
      <c r="M698" s="13"/>
    </row>
    <row r="699" spans="13:13" x14ac:dyDescent="0.3">
      <c r="M699" s="13"/>
    </row>
    <row r="700" spans="13:13" x14ac:dyDescent="0.3">
      <c r="M700" s="13"/>
    </row>
    <row r="701" spans="13:13" x14ac:dyDescent="0.3">
      <c r="M701" s="13"/>
    </row>
    <row r="702" spans="13:13" x14ac:dyDescent="0.3">
      <c r="M702" s="13"/>
    </row>
    <row r="703" spans="13:13" x14ac:dyDescent="0.3">
      <c r="M703" s="13"/>
    </row>
    <row r="704" spans="13:13" x14ac:dyDescent="0.3">
      <c r="M704" s="13"/>
    </row>
    <row r="705" spans="13:13" x14ac:dyDescent="0.3">
      <c r="M705" s="13"/>
    </row>
    <row r="706" spans="13:13" x14ac:dyDescent="0.3">
      <c r="M706" s="13"/>
    </row>
    <row r="707" spans="13:13" x14ac:dyDescent="0.3">
      <c r="M707" s="13"/>
    </row>
    <row r="708" spans="13:13" x14ac:dyDescent="0.3">
      <c r="M708" s="13"/>
    </row>
    <row r="709" spans="13:13" x14ac:dyDescent="0.3">
      <c r="M709" s="13"/>
    </row>
    <row r="710" spans="13:13" x14ac:dyDescent="0.3">
      <c r="M710" s="13"/>
    </row>
    <row r="711" spans="13:13" x14ac:dyDescent="0.3">
      <c r="M711" s="13"/>
    </row>
    <row r="712" spans="13:13" x14ac:dyDescent="0.3">
      <c r="M712" s="13"/>
    </row>
    <row r="713" spans="13:13" x14ac:dyDescent="0.3">
      <c r="M713" s="13"/>
    </row>
    <row r="714" spans="13:13" x14ac:dyDescent="0.3">
      <c r="M714" s="13"/>
    </row>
    <row r="715" spans="13:13" x14ac:dyDescent="0.3">
      <c r="M715" s="13"/>
    </row>
    <row r="716" spans="13:13" x14ac:dyDescent="0.3">
      <c r="M716" s="13"/>
    </row>
    <row r="717" spans="13:13" x14ac:dyDescent="0.3">
      <c r="M717" s="13"/>
    </row>
    <row r="718" spans="13:13" x14ac:dyDescent="0.3">
      <c r="M718" s="13"/>
    </row>
    <row r="719" spans="13:13" x14ac:dyDescent="0.3">
      <c r="M719" s="13"/>
    </row>
    <row r="720" spans="13:13" x14ac:dyDescent="0.3">
      <c r="M720" s="13"/>
    </row>
    <row r="721" spans="13:13" x14ac:dyDescent="0.3">
      <c r="M721" s="13"/>
    </row>
    <row r="722" spans="13:13" x14ac:dyDescent="0.3">
      <c r="M722" s="13"/>
    </row>
    <row r="723" spans="13:13" x14ac:dyDescent="0.3">
      <c r="M723" s="13"/>
    </row>
    <row r="724" spans="13:13" x14ac:dyDescent="0.3">
      <c r="M724" s="13"/>
    </row>
    <row r="725" spans="13:13" x14ac:dyDescent="0.3">
      <c r="M725" s="13"/>
    </row>
    <row r="726" spans="13:13" x14ac:dyDescent="0.3">
      <c r="M726" s="13"/>
    </row>
    <row r="727" spans="13:13" x14ac:dyDescent="0.3">
      <c r="M727" s="13"/>
    </row>
    <row r="728" spans="13:13" x14ac:dyDescent="0.3">
      <c r="M728" s="13"/>
    </row>
    <row r="729" spans="13:13" x14ac:dyDescent="0.3">
      <c r="M729" s="13"/>
    </row>
    <row r="730" spans="13:13" x14ac:dyDescent="0.3">
      <c r="M730" s="13"/>
    </row>
    <row r="731" spans="13:13" x14ac:dyDescent="0.3">
      <c r="M731" s="13"/>
    </row>
    <row r="732" spans="13:13" x14ac:dyDescent="0.3">
      <c r="M732" s="13"/>
    </row>
    <row r="733" spans="13:13" x14ac:dyDescent="0.3">
      <c r="M733" s="13"/>
    </row>
    <row r="734" spans="13:13" x14ac:dyDescent="0.3">
      <c r="M734" s="13"/>
    </row>
    <row r="735" spans="13:13" x14ac:dyDescent="0.3">
      <c r="M735" s="13"/>
    </row>
    <row r="736" spans="13:13" x14ac:dyDescent="0.3">
      <c r="M736" s="13"/>
    </row>
    <row r="737" spans="13:13" x14ac:dyDescent="0.3">
      <c r="M737" s="13"/>
    </row>
    <row r="738" spans="13:13" x14ac:dyDescent="0.3">
      <c r="M738" s="13"/>
    </row>
    <row r="739" spans="13:13" x14ac:dyDescent="0.3">
      <c r="M739" s="13"/>
    </row>
    <row r="740" spans="13:13" x14ac:dyDescent="0.3">
      <c r="M740" s="13"/>
    </row>
    <row r="741" spans="13:13" x14ac:dyDescent="0.3">
      <c r="M741" s="13"/>
    </row>
    <row r="742" spans="13:13" x14ac:dyDescent="0.3">
      <c r="M742" s="13"/>
    </row>
    <row r="743" spans="13:13" x14ac:dyDescent="0.3">
      <c r="M743" s="13"/>
    </row>
    <row r="744" spans="13:13" x14ac:dyDescent="0.3">
      <c r="M744" s="13"/>
    </row>
    <row r="745" spans="13:13" x14ac:dyDescent="0.3">
      <c r="M745" s="13"/>
    </row>
    <row r="746" spans="13:13" x14ac:dyDescent="0.3">
      <c r="M746" s="13"/>
    </row>
    <row r="747" spans="13:13" x14ac:dyDescent="0.3">
      <c r="M747" s="13"/>
    </row>
    <row r="748" spans="13:13" x14ac:dyDescent="0.3">
      <c r="M748" s="13"/>
    </row>
    <row r="749" spans="13:13" x14ac:dyDescent="0.3">
      <c r="M749" s="13"/>
    </row>
    <row r="750" spans="13:13" x14ac:dyDescent="0.3">
      <c r="M750" s="13"/>
    </row>
    <row r="751" spans="13:13" x14ac:dyDescent="0.3">
      <c r="M751" s="13"/>
    </row>
    <row r="752" spans="13:13" x14ac:dyDescent="0.3">
      <c r="M752" s="13"/>
    </row>
    <row r="753" spans="13:13" x14ac:dyDescent="0.3">
      <c r="M753" s="13"/>
    </row>
    <row r="754" spans="13:13" x14ac:dyDescent="0.3">
      <c r="M754" s="13"/>
    </row>
    <row r="755" spans="13:13" x14ac:dyDescent="0.3">
      <c r="M755" s="13"/>
    </row>
    <row r="756" spans="13:13" x14ac:dyDescent="0.3">
      <c r="M756" s="13"/>
    </row>
    <row r="757" spans="13:13" x14ac:dyDescent="0.3">
      <c r="M757" s="13"/>
    </row>
    <row r="758" spans="13:13" x14ac:dyDescent="0.3">
      <c r="M758" s="13"/>
    </row>
    <row r="759" spans="13:13" x14ac:dyDescent="0.3">
      <c r="M759" s="13"/>
    </row>
    <row r="760" spans="13:13" x14ac:dyDescent="0.3">
      <c r="M760" s="13"/>
    </row>
    <row r="761" spans="13:13" x14ac:dyDescent="0.3">
      <c r="M761" s="13"/>
    </row>
    <row r="762" spans="13:13" x14ac:dyDescent="0.3">
      <c r="M762" s="13"/>
    </row>
    <row r="763" spans="13:13" x14ac:dyDescent="0.3">
      <c r="M763" s="13"/>
    </row>
    <row r="764" spans="13:13" x14ac:dyDescent="0.3">
      <c r="M764" s="13"/>
    </row>
    <row r="765" spans="13:13" x14ac:dyDescent="0.3">
      <c r="M765" s="13"/>
    </row>
    <row r="766" spans="13:13" x14ac:dyDescent="0.3">
      <c r="M766" s="13"/>
    </row>
    <row r="767" spans="13:13" x14ac:dyDescent="0.3">
      <c r="M767" s="13"/>
    </row>
    <row r="768" spans="13:13" x14ac:dyDescent="0.3">
      <c r="M768" s="13"/>
    </row>
    <row r="769" spans="13:13" x14ac:dyDescent="0.3">
      <c r="M769" s="13"/>
    </row>
    <row r="770" spans="13:13" x14ac:dyDescent="0.3">
      <c r="M770" s="13"/>
    </row>
    <row r="771" spans="13:13" x14ac:dyDescent="0.3">
      <c r="M771" s="13"/>
    </row>
    <row r="772" spans="13:13" x14ac:dyDescent="0.3">
      <c r="M772" s="13"/>
    </row>
    <row r="773" spans="13:13" x14ac:dyDescent="0.3">
      <c r="M773" s="13"/>
    </row>
    <row r="774" spans="13:13" x14ac:dyDescent="0.3">
      <c r="M774" s="13"/>
    </row>
    <row r="775" spans="13:13" x14ac:dyDescent="0.3">
      <c r="M775" s="13"/>
    </row>
    <row r="776" spans="13:13" x14ac:dyDescent="0.3">
      <c r="M776" s="13"/>
    </row>
    <row r="777" spans="13:13" x14ac:dyDescent="0.3">
      <c r="M777" s="13"/>
    </row>
    <row r="778" spans="13:13" x14ac:dyDescent="0.3">
      <c r="M778" s="13"/>
    </row>
    <row r="779" spans="13:13" x14ac:dyDescent="0.3">
      <c r="M779" s="13"/>
    </row>
    <row r="780" spans="13:13" x14ac:dyDescent="0.3">
      <c r="M780" s="13"/>
    </row>
    <row r="781" spans="13:13" x14ac:dyDescent="0.3">
      <c r="M781" s="13"/>
    </row>
    <row r="782" spans="13:13" x14ac:dyDescent="0.3">
      <c r="M782" s="13"/>
    </row>
    <row r="783" spans="13:13" x14ac:dyDescent="0.3">
      <c r="M783" s="13"/>
    </row>
    <row r="784" spans="13:13" x14ac:dyDescent="0.3">
      <c r="M784" s="13"/>
    </row>
    <row r="785" spans="13:13" x14ac:dyDescent="0.3">
      <c r="M785" s="13"/>
    </row>
    <row r="786" spans="13:13" x14ac:dyDescent="0.3">
      <c r="M786" s="13"/>
    </row>
    <row r="787" spans="13:13" x14ac:dyDescent="0.3">
      <c r="M787" s="13"/>
    </row>
    <row r="788" spans="13:13" x14ac:dyDescent="0.3">
      <c r="M788" s="13"/>
    </row>
    <row r="789" spans="13:13" x14ac:dyDescent="0.3">
      <c r="M789" s="13"/>
    </row>
    <row r="790" spans="13:13" x14ac:dyDescent="0.3">
      <c r="M790" s="13"/>
    </row>
    <row r="791" spans="13:13" x14ac:dyDescent="0.3">
      <c r="M791" s="13"/>
    </row>
    <row r="792" spans="13:13" x14ac:dyDescent="0.3">
      <c r="M792" s="13"/>
    </row>
    <row r="793" spans="13:13" x14ac:dyDescent="0.3">
      <c r="M793" s="13"/>
    </row>
    <row r="794" spans="13:13" x14ac:dyDescent="0.3">
      <c r="M794" s="13"/>
    </row>
    <row r="795" spans="13:13" x14ac:dyDescent="0.3">
      <c r="M795" s="13"/>
    </row>
    <row r="796" spans="13:13" x14ac:dyDescent="0.3">
      <c r="M796" s="13"/>
    </row>
    <row r="797" spans="13:13" x14ac:dyDescent="0.3">
      <c r="M797" s="13"/>
    </row>
    <row r="798" spans="13:13" x14ac:dyDescent="0.3">
      <c r="M798" s="13"/>
    </row>
    <row r="799" spans="13:13" x14ac:dyDescent="0.3">
      <c r="M799" s="13"/>
    </row>
    <row r="800" spans="13:13" x14ac:dyDescent="0.3">
      <c r="M800" s="13"/>
    </row>
    <row r="801" spans="13:13" x14ac:dyDescent="0.3">
      <c r="M801" s="13"/>
    </row>
    <row r="802" spans="13:13" x14ac:dyDescent="0.3">
      <c r="M802" s="13"/>
    </row>
    <row r="803" spans="13:13" x14ac:dyDescent="0.3">
      <c r="M803" s="13"/>
    </row>
    <row r="804" spans="13:13" x14ac:dyDescent="0.3">
      <c r="M804" s="13"/>
    </row>
    <row r="805" spans="13:13" x14ac:dyDescent="0.3">
      <c r="M805" s="13"/>
    </row>
    <row r="806" spans="13:13" x14ac:dyDescent="0.3">
      <c r="M806" s="13"/>
    </row>
    <row r="807" spans="13:13" x14ac:dyDescent="0.3">
      <c r="M807" s="13"/>
    </row>
    <row r="808" spans="13:13" x14ac:dyDescent="0.3">
      <c r="M808" s="13"/>
    </row>
    <row r="809" spans="13:13" x14ac:dyDescent="0.3">
      <c r="M809" s="13"/>
    </row>
    <row r="810" spans="13:13" x14ac:dyDescent="0.3">
      <c r="M810" s="13"/>
    </row>
    <row r="811" spans="13:13" x14ac:dyDescent="0.3">
      <c r="M811" s="13"/>
    </row>
    <row r="812" spans="13:13" x14ac:dyDescent="0.3">
      <c r="M812" s="13"/>
    </row>
    <row r="813" spans="13:13" x14ac:dyDescent="0.3">
      <c r="M813" s="13"/>
    </row>
    <row r="814" spans="13:13" x14ac:dyDescent="0.3">
      <c r="M814" s="13"/>
    </row>
    <row r="815" spans="13:13" x14ac:dyDescent="0.3">
      <c r="M815" s="13"/>
    </row>
    <row r="816" spans="13:13" x14ac:dyDescent="0.3">
      <c r="M816" s="13"/>
    </row>
    <row r="817" spans="13:13" x14ac:dyDescent="0.3">
      <c r="M817" s="13"/>
    </row>
    <row r="818" spans="13:13" x14ac:dyDescent="0.3">
      <c r="M818" s="13"/>
    </row>
    <row r="819" spans="13:13" x14ac:dyDescent="0.3">
      <c r="M819" s="13"/>
    </row>
    <row r="820" spans="13:13" x14ac:dyDescent="0.3">
      <c r="M820" s="13"/>
    </row>
    <row r="821" spans="13:13" x14ac:dyDescent="0.3">
      <c r="M821" s="13"/>
    </row>
    <row r="822" spans="13:13" x14ac:dyDescent="0.3">
      <c r="M822" s="13"/>
    </row>
    <row r="823" spans="13:13" x14ac:dyDescent="0.3">
      <c r="M823" s="13"/>
    </row>
    <row r="824" spans="13:13" x14ac:dyDescent="0.3">
      <c r="M824" s="13"/>
    </row>
    <row r="825" spans="13:13" x14ac:dyDescent="0.3">
      <c r="M825" s="13"/>
    </row>
    <row r="826" spans="13:13" x14ac:dyDescent="0.3">
      <c r="M826" s="13"/>
    </row>
    <row r="827" spans="13:13" x14ac:dyDescent="0.3">
      <c r="M827" s="13"/>
    </row>
    <row r="828" spans="13:13" x14ac:dyDescent="0.3">
      <c r="M828" s="13"/>
    </row>
    <row r="829" spans="13:13" x14ac:dyDescent="0.3">
      <c r="M829" s="13"/>
    </row>
    <row r="830" spans="13:13" x14ac:dyDescent="0.3">
      <c r="M830" s="13"/>
    </row>
    <row r="831" spans="13:13" x14ac:dyDescent="0.3">
      <c r="M831" s="13"/>
    </row>
    <row r="832" spans="13:13" x14ac:dyDescent="0.3">
      <c r="M832" s="13"/>
    </row>
    <row r="833" spans="13:13" x14ac:dyDescent="0.3">
      <c r="M833" s="13"/>
    </row>
    <row r="834" spans="13:13" x14ac:dyDescent="0.3">
      <c r="M834" s="13"/>
    </row>
    <row r="835" spans="13:13" x14ac:dyDescent="0.3">
      <c r="M835" s="13"/>
    </row>
    <row r="836" spans="13:13" x14ac:dyDescent="0.3">
      <c r="M836" s="13"/>
    </row>
    <row r="837" spans="13:13" x14ac:dyDescent="0.3">
      <c r="M837" s="13"/>
    </row>
    <row r="838" spans="13:13" x14ac:dyDescent="0.3">
      <c r="M838" s="13"/>
    </row>
    <row r="839" spans="13:13" x14ac:dyDescent="0.3">
      <c r="M839" s="13"/>
    </row>
    <row r="840" spans="13:13" x14ac:dyDescent="0.3">
      <c r="M840" s="13"/>
    </row>
    <row r="841" spans="13:13" x14ac:dyDescent="0.3">
      <c r="M841" s="13"/>
    </row>
    <row r="842" spans="13:13" x14ac:dyDescent="0.3">
      <c r="M842" s="13"/>
    </row>
    <row r="843" spans="13:13" x14ac:dyDescent="0.3">
      <c r="M843" s="13"/>
    </row>
    <row r="844" spans="13:13" x14ac:dyDescent="0.3">
      <c r="M844" s="13"/>
    </row>
    <row r="845" spans="13:13" x14ac:dyDescent="0.3">
      <c r="M845" s="13"/>
    </row>
    <row r="846" spans="13:13" x14ac:dyDescent="0.3">
      <c r="M846" s="13"/>
    </row>
    <row r="847" spans="13:13" x14ac:dyDescent="0.3">
      <c r="M847" s="13"/>
    </row>
    <row r="848" spans="13:13" x14ac:dyDescent="0.3">
      <c r="M848" s="13"/>
    </row>
    <row r="849" spans="13:13" x14ac:dyDescent="0.3">
      <c r="M849" s="13"/>
    </row>
    <row r="850" spans="13:13" x14ac:dyDescent="0.3">
      <c r="M850" s="13"/>
    </row>
    <row r="851" spans="13:13" x14ac:dyDescent="0.3">
      <c r="M851" s="13"/>
    </row>
    <row r="852" spans="13:13" x14ac:dyDescent="0.3">
      <c r="M852" s="13"/>
    </row>
    <row r="853" spans="13:13" x14ac:dyDescent="0.3">
      <c r="M853" s="13"/>
    </row>
    <row r="854" spans="13:13" x14ac:dyDescent="0.3">
      <c r="M854" s="13"/>
    </row>
    <row r="855" spans="13:13" x14ac:dyDescent="0.3">
      <c r="M855" s="13"/>
    </row>
    <row r="856" spans="13:13" x14ac:dyDescent="0.3">
      <c r="M856" s="13"/>
    </row>
    <row r="857" spans="13:13" x14ac:dyDescent="0.3">
      <c r="M857" s="13"/>
    </row>
    <row r="858" spans="13:13" x14ac:dyDescent="0.3">
      <c r="M858" s="13"/>
    </row>
    <row r="859" spans="13:13" x14ac:dyDescent="0.3">
      <c r="M859" s="13"/>
    </row>
    <row r="860" spans="13:13" x14ac:dyDescent="0.3">
      <c r="M860" s="13"/>
    </row>
    <row r="861" spans="13:13" x14ac:dyDescent="0.3">
      <c r="M861" s="13"/>
    </row>
    <row r="862" spans="13:13" x14ac:dyDescent="0.3">
      <c r="M862" s="13"/>
    </row>
    <row r="863" spans="13:13" x14ac:dyDescent="0.3">
      <c r="M863" s="13"/>
    </row>
    <row r="864" spans="13:13" x14ac:dyDescent="0.3">
      <c r="M864" s="13"/>
    </row>
    <row r="865" spans="13:13" x14ac:dyDescent="0.3">
      <c r="M865" s="13"/>
    </row>
    <row r="866" spans="13:13" x14ac:dyDescent="0.3">
      <c r="M866" s="13"/>
    </row>
    <row r="867" spans="13:13" x14ac:dyDescent="0.3">
      <c r="M867" s="13"/>
    </row>
    <row r="868" spans="13:13" x14ac:dyDescent="0.3">
      <c r="M868" s="13"/>
    </row>
    <row r="869" spans="13:13" x14ac:dyDescent="0.3">
      <c r="M869" s="13"/>
    </row>
    <row r="870" spans="13:13" x14ac:dyDescent="0.3">
      <c r="M870" s="13"/>
    </row>
    <row r="871" spans="13:13" x14ac:dyDescent="0.3">
      <c r="M871" s="13"/>
    </row>
    <row r="872" spans="13:13" x14ac:dyDescent="0.3">
      <c r="M872" s="13"/>
    </row>
    <row r="873" spans="13:13" x14ac:dyDescent="0.3">
      <c r="M873" s="13"/>
    </row>
    <row r="874" spans="13:13" x14ac:dyDescent="0.3">
      <c r="M874" s="13"/>
    </row>
  </sheetData>
  <autoFilter ref="A4:M188" xr:uid="{19DF0EF0-311F-4196-BD20-E089E9D353F0}">
    <filterColumn colId="10">
      <filters>
        <dateGroupItem year="2026" month="6" dateTimeGrouping="month"/>
      </filters>
    </filterColumn>
    <sortState ref="A106:M188">
      <sortCondition descending="1" ref="A4:A188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9D145011-A399-484F-88F7-F08788AA518B}">
          <x14:formula1>
            <xm:f>'Listes déroulantes'!$K$3:$K$4</xm:f>
          </x14:formula1>
          <xm:sqref>I259:I1048576 I5:I188 G259:G1048576</xm:sqref>
        </x14:dataValidation>
        <x14:dataValidation type="list" allowBlank="1" showInputMessage="1" showErrorMessage="1" xr:uid="{9DE273A3-A20B-4EB6-8FE6-9BC870E84446}">
          <x14:formula1>
            <xm:f>'Listes déroulantes'!$E$3:$E$18</xm:f>
          </x14:formula1>
          <xm:sqref>C5:C188 C259:C1048576</xm:sqref>
        </x14:dataValidation>
        <x14:dataValidation type="list" allowBlank="1" showInputMessage="1" showErrorMessage="1" xr:uid="{6361E4DB-EB4D-4A42-8CA2-4224EC35EE3E}">
          <x14:formula1>
            <xm:f>'Listes déroulantes'!$G$3:$G$12</xm:f>
          </x14:formula1>
          <xm:sqref>D5:D188 D259:D1048576</xm:sqref>
        </x14:dataValidation>
        <x14:dataValidation type="list" allowBlank="1" showInputMessage="1" showErrorMessage="1" xr:uid="{F2991927-5E78-4454-AB88-C7A998BE3AC0}">
          <x14:formula1>
            <xm:f>'Listes déroulantes'!$O$3:$O$6</xm:f>
          </x14:formula1>
          <xm:sqref>E5:E188 E259:E1048576</xm:sqref>
        </x14:dataValidation>
        <x14:dataValidation type="list" allowBlank="1" showInputMessage="1" showErrorMessage="1" xr:uid="{CC7313F6-3B9C-4929-8CD2-39FC5E59E244}">
          <x14:formula1>
            <xm:f>'Listes déroulantes'!$C$3:$C$4</xm:f>
          </x14:formula1>
          <xm:sqref>B5:B188 B259:B1048576</xm:sqref>
        </x14:dataValidation>
        <x14:dataValidation type="list" allowBlank="1" showInputMessage="1" showErrorMessage="1" xr:uid="{E2C6EE64-D45A-4D51-A3B1-DEAF16B4D844}">
          <x14:formula1>
            <xm:f>'Listes déroulantes'!$I$3:$I$5</xm:f>
          </x14:formula1>
          <xm:sqref>H5:H188 H259:H1048576</xm:sqref>
        </x14:dataValidation>
        <x14:dataValidation type="list" allowBlank="1" showInputMessage="1" showErrorMessage="1" xr:uid="{1FF82893-F014-45DF-8FB2-9C058FDCFC2D}">
          <x14:formula1>
            <xm:f>'Listes déroulantes'!$M$3:$M$4</xm:f>
          </x14:formula1>
          <xm:sqref>J5:J188 J259:J1048576</xm:sqref>
        </x14:dataValidation>
        <x14:dataValidation type="list" allowBlank="1" showInputMessage="1" showErrorMessage="1" xr:uid="{24AC4C68-4184-455B-9697-7BACA3634635}">
          <x14:formula1>
            <xm:f>'Listes déroulantes'!$A$3:$A$12</xm:f>
          </x14:formula1>
          <xm:sqref>A5:A188 A259:A1048576</xm:sqref>
        </x14:dataValidation>
        <x14:dataValidation type="list" allowBlank="1" showInputMessage="1" showErrorMessage="1" xr:uid="{33C73F29-E86F-4D4B-9996-5D4AC216EBBF}">
          <x14:formula1>
            <xm:f>'[Suivi financier Maintenance _ JUIN 2026 OK.xlsx]Listes déroulantes'!#REF!</xm:f>
          </x14:formula1>
          <xm:sqref>J189:J258</xm:sqref>
        </x14:dataValidation>
        <x14:dataValidation type="list" allowBlank="1" showInputMessage="1" showErrorMessage="1" xr:uid="{82D8AD42-BFC7-47A1-9F72-58E728AF1ED9}">
          <x14:formula1>
            <xm:f>'[Suivi financier Maintenance _ JUIN 2026 OK.xlsx]Listes déroulantes'!#REF!</xm:f>
          </x14:formula1>
          <xm:sqref>H189:H258</xm:sqref>
        </x14:dataValidation>
        <x14:dataValidation type="list" allowBlank="1" showInputMessage="1" showErrorMessage="1" xr:uid="{F25131AA-59AF-4FF1-A2D9-715089B0ED77}">
          <x14:formula1>
            <xm:f>'[Suivi financier Maintenance _ JUIN 2026 OK.xlsx]Listes déroulantes'!#REF!</xm:f>
          </x14:formula1>
          <xm:sqref>E189:E258</xm:sqref>
        </x14:dataValidation>
        <x14:dataValidation type="list" allowBlank="1" showInputMessage="1" showErrorMessage="1" xr:uid="{ADCC5CF1-80C0-4267-B5D0-AB31AC66E3F4}">
          <x14:formula1>
            <xm:f>'[Suivi financier Maintenance _ JUIN 2026 OK.xlsx]Listes déroulantes'!#REF!</xm:f>
          </x14:formula1>
          <xm:sqref>D189:D258</xm:sqref>
        </x14:dataValidation>
        <x14:dataValidation type="list" allowBlank="1" showInputMessage="1" showErrorMessage="1" xr:uid="{9F38C2EA-9C85-41CC-A1D3-A7FC5A733AE8}">
          <x14:formula1>
            <xm:f>'[Suivi financier Maintenance _ JUIN 2026 OK.xlsx]Listes déroulantes'!#REF!</xm:f>
          </x14:formula1>
          <xm:sqref>C189:C258</xm:sqref>
        </x14:dataValidation>
        <x14:dataValidation type="list" allowBlank="1" showInputMessage="1" showErrorMessage="1" xr:uid="{AF4EED4C-2FB6-47B4-A1F0-93B798565E13}">
          <x14:formula1>
            <xm:f>'[Suivi financier Maintenance _ JUIN 2026 OK.xlsx]Listes déroulantes'!#REF!</xm:f>
          </x14:formula1>
          <xm:sqref>I189:I258</xm:sqref>
        </x14:dataValidation>
        <x14:dataValidation type="list" allowBlank="1" showInputMessage="1" showErrorMessage="1" xr:uid="{34664BEA-D7FC-484C-B484-1B0B95FBFF5D}">
          <x14:formula1>
            <xm:f>'[Suivi financier Maintenance _ JUIN 2026 OK.xlsx]Listes déroulantes'!#REF!</xm:f>
          </x14:formula1>
          <xm:sqref>A189:A258</xm:sqref>
        </x14:dataValidation>
        <x14:dataValidation type="list" allowBlank="1" showInputMessage="1" showErrorMessage="1" xr:uid="{1907CBD2-5A58-4ADF-BCCC-E4AB75DD1EC5}">
          <x14:formula1>
            <xm:f>'[Suivi financier Maintenance _ JUIN 2026 OK.xlsx]Listes déroulantes'!#REF!</xm:f>
          </x14:formula1>
          <xm:sqref>B189:B258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D55D1-089E-441B-B87D-910FA270117B}">
  <dimension ref="A1:F142"/>
  <sheetViews>
    <sheetView workbookViewId="0">
      <selection activeCell="E23" sqref="E23"/>
    </sheetView>
  </sheetViews>
  <sheetFormatPr baseColWidth="10" defaultRowHeight="13.8" x14ac:dyDescent="0.25"/>
  <cols>
    <col min="1" max="1" width="22.77734375" style="13" bestFit="1" customWidth="1"/>
    <col min="2" max="2" width="20.88671875" style="13" bestFit="1" customWidth="1"/>
    <col min="3" max="3" width="19.5546875" style="13" bestFit="1" customWidth="1"/>
    <col min="4" max="4" width="5" style="13" bestFit="1" customWidth="1"/>
    <col min="5" max="5" width="21.5546875" style="13" customWidth="1"/>
    <col min="6" max="6" width="16.5546875" style="10" bestFit="1" customWidth="1"/>
    <col min="7" max="10" width="5" style="13" bestFit="1" customWidth="1"/>
    <col min="11" max="48" width="6" style="13" bestFit="1" customWidth="1"/>
    <col min="49" max="106" width="7" style="13" bestFit="1" customWidth="1"/>
    <col min="107" max="121" width="8" style="13" bestFit="1" customWidth="1"/>
    <col min="122" max="123" width="9" style="13" bestFit="1" customWidth="1"/>
    <col min="124" max="124" width="5.88671875" style="13" bestFit="1" customWidth="1"/>
    <col min="125" max="125" width="11.88671875" style="13" bestFit="1" customWidth="1"/>
    <col min="126" max="16384" width="11.5546875" style="13"/>
  </cols>
  <sheetData>
    <row r="1" spans="1:6" x14ac:dyDescent="0.25">
      <c r="A1" s="50" t="s">
        <v>69</v>
      </c>
      <c r="B1" s="50"/>
      <c r="C1" s="50"/>
      <c r="D1" s="50"/>
      <c r="E1" s="50"/>
      <c r="F1" s="50"/>
    </row>
    <row r="3" spans="1:6" x14ac:dyDescent="0.25">
      <c r="A3" s="35" t="s">
        <v>65</v>
      </c>
      <c r="B3" s="13" t="s">
        <v>67</v>
      </c>
    </row>
    <row r="4" spans="1:6" x14ac:dyDescent="0.25">
      <c r="A4" s="36" t="s">
        <v>50</v>
      </c>
      <c r="B4" s="37">
        <v>20887468.050000001</v>
      </c>
      <c r="E4" s="49" t="s">
        <v>72</v>
      </c>
      <c r="F4" s="49"/>
    </row>
    <row r="5" spans="1:6" x14ac:dyDescent="0.25">
      <c r="A5" s="38" t="s">
        <v>16</v>
      </c>
      <c r="B5" s="37">
        <v>828561</v>
      </c>
      <c r="E5" s="41" t="s">
        <v>0</v>
      </c>
      <c r="F5" s="41" t="s">
        <v>71</v>
      </c>
    </row>
    <row r="6" spans="1:6" x14ac:dyDescent="0.25">
      <c r="A6" s="39" t="s">
        <v>248</v>
      </c>
      <c r="B6" s="37">
        <v>828561</v>
      </c>
      <c r="E6" s="26" t="str">
        <f>+A5</f>
        <v>AKWA-DUBAI</v>
      </c>
      <c r="F6" s="40">
        <f>+B6</f>
        <v>828561</v>
      </c>
    </row>
    <row r="7" spans="1:6" x14ac:dyDescent="0.25">
      <c r="A7" s="38" t="s">
        <v>15</v>
      </c>
      <c r="B7" s="37">
        <v>867000</v>
      </c>
      <c r="E7" s="26" t="str">
        <f t="shared" ref="E7:E13" si="0">A7</f>
        <v>ANCIEN DALIP</v>
      </c>
      <c r="F7" s="40">
        <f>+GETPIVOTDATA("MONTANT",$A$3,"SITE","ANCIEN DALIP","NATURE DU FINANCEMENT (CAPEX/OPEX)","OPEX")</f>
        <v>867000</v>
      </c>
    </row>
    <row r="8" spans="1:6" x14ac:dyDescent="0.25">
      <c r="A8" s="39" t="s">
        <v>248</v>
      </c>
      <c r="B8" s="37">
        <v>867000</v>
      </c>
      <c r="E8" s="26" t="str">
        <f>+A9</f>
        <v>BONABERI</v>
      </c>
      <c r="F8" s="40">
        <f>+GETPIVOTDATA("MONTANT",$A$3,"SITE","BONABERI","NATURE DU FINANCEMENT (CAPEX/OPEX)","OPEX")</f>
        <v>7254203</v>
      </c>
    </row>
    <row r="9" spans="1:6" x14ac:dyDescent="0.25">
      <c r="A9" s="38" t="s">
        <v>21</v>
      </c>
      <c r="B9" s="37">
        <v>7254203</v>
      </c>
      <c r="E9" s="26" t="str">
        <f>+A11</f>
        <v>BONAMOUSSADI</v>
      </c>
      <c r="F9" s="40">
        <f>+GETPIVOTDATA("MONTANT",$A$3,"SITE","BONAMOUSSADI","NATURE DU FINANCEMENT (CAPEX/OPEX)","OPEX")</f>
        <v>7609221.0499999998</v>
      </c>
    </row>
    <row r="10" spans="1:6" x14ac:dyDescent="0.25">
      <c r="A10" s="39" t="s">
        <v>248</v>
      </c>
      <c r="B10" s="37">
        <v>7254203</v>
      </c>
      <c r="E10" s="26" t="str">
        <f>+A13</f>
        <v>ENTREPOT</v>
      </c>
      <c r="F10" s="40">
        <f>+GETPIVOTDATA("MONTANT",$A$3,"SITE","ENTREPOT","NATURE DU FINANCEMENT (CAPEX/OPEX)","OPEX")</f>
        <v>3416902</v>
      </c>
    </row>
    <row r="11" spans="1:6" x14ac:dyDescent="0.25">
      <c r="A11" s="38" t="s">
        <v>20</v>
      </c>
      <c r="B11" s="37">
        <v>7609221.0499999998</v>
      </c>
      <c r="E11" s="26" t="str">
        <f>+A15</f>
        <v>LOGPOM</v>
      </c>
      <c r="F11" s="40">
        <f>+GETPIVOTDATA("MONTANT",$A$3,"SITE","LOGPOM","NATURE DU FINANCEMENT (CAPEX/OPEX)","OPEX")</f>
        <v>731881</v>
      </c>
    </row>
    <row r="12" spans="1:6" x14ac:dyDescent="0.25">
      <c r="A12" s="39" t="s">
        <v>248</v>
      </c>
      <c r="B12" s="37">
        <v>7609221.0499999998</v>
      </c>
      <c r="E12" s="26" t="str">
        <f>+A17</f>
        <v>BU BALI</v>
      </c>
      <c r="F12" s="40">
        <f>+GETPIVOTDATA("MONTANT",$A$3,"SITE","BU BALI","NATURE DU FINANCEMENT (CAPEX/OPEX)","OPEX")</f>
        <v>43200</v>
      </c>
    </row>
    <row r="13" spans="1:6" x14ac:dyDescent="0.25">
      <c r="A13" s="38" t="s">
        <v>14</v>
      </c>
      <c r="B13" s="37">
        <v>3416902</v>
      </c>
      <c r="E13" s="42" t="str">
        <f>+A19</f>
        <v>DOMICILES EXPATS</v>
      </c>
      <c r="F13" s="43">
        <f>+GETPIVOTDATA("MONTANT",$A$3,"SITE","DOMICILES EXPATS","NATURE DU FINANCEMENT (CAPEX/OPEX)","OPEX")</f>
        <v>136500</v>
      </c>
    </row>
    <row r="14" spans="1:6" x14ac:dyDescent="0.25">
      <c r="A14" s="39" t="s">
        <v>248</v>
      </c>
      <c r="B14" s="37">
        <v>3416902</v>
      </c>
    </row>
    <row r="15" spans="1:6" x14ac:dyDescent="0.25">
      <c r="A15" s="38" t="s">
        <v>17</v>
      </c>
      <c r="B15" s="37">
        <v>731881</v>
      </c>
      <c r="E15" s="42" t="s">
        <v>70</v>
      </c>
      <c r="F15" s="43">
        <f>GETPIVOTDATA("MONTANT",$A$3)</f>
        <v>20894468.050000001</v>
      </c>
    </row>
    <row r="16" spans="1:6" x14ac:dyDescent="0.25">
      <c r="A16" s="39" t="s">
        <v>248</v>
      </c>
      <c r="B16" s="37">
        <v>731881</v>
      </c>
    </row>
    <row r="17" spans="1:2" x14ac:dyDescent="0.25">
      <c r="A17" s="38" t="s">
        <v>18</v>
      </c>
      <c r="B17" s="37">
        <v>43200</v>
      </c>
    </row>
    <row r="18" spans="1:2" x14ac:dyDescent="0.25">
      <c r="A18" s="39" t="s">
        <v>248</v>
      </c>
      <c r="B18" s="37">
        <v>43200</v>
      </c>
    </row>
    <row r="19" spans="1:2" x14ac:dyDescent="0.25">
      <c r="A19" s="38" t="s">
        <v>19</v>
      </c>
      <c r="B19" s="37">
        <v>136500</v>
      </c>
    </row>
    <row r="20" spans="1:2" x14ac:dyDescent="0.25">
      <c r="A20" s="39" t="s">
        <v>248</v>
      </c>
      <c r="B20" s="37">
        <v>136500</v>
      </c>
    </row>
    <row r="21" spans="1:2" x14ac:dyDescent="0.25">
      <c r="A21" s="36" t="s">
        <v>206</v>
      </c>
      <c r="B21" s="37">
        <v>7000</v>
      </c>
    </row>
    <row r="22" spans="1:2" x14ac:dyDescent="0.25">
      <c r="A22" s="38" t="s">
        <v>14</v>
      </c>
      <c r="B22" s="37">
        <v>7000</v>
      </c>
    </row>
    <row r="23" spans="1:2" x14ac:dyDescent="0.25">
      <c r="A23" s="39" t="s">
        <v>248</v>
      </c>
      <c r="B23" s="37">
        <v>7000</v>
      </c>
    </row>
    <row r="24" spans="1:2" x14ac:dyDescent="0.25">
      <c r="A24" s="36" t="s">
        <v>66</v>
      </c>
      <c r="B24" s="37">
        <v>20894468.050000001</v>
      </c>
    </row>
    <row r="25" spans="1:2" x14ac:dyDescent="0.25">
      <c r="A25"/>
      <c r="B25"/>
    </row>
    <row r="26" spans="1:2" x14ac:dyDescent="0.25">
      <c r="A26"/>
      <c r="B26"/>
    </row>
    <row r="27" spans="1:2" x14ac:dyDescent="0.25">
      <c r="A27"/>
      <c r="B27"/>
    </row>
    <row r="28" spans="1:2" x14ac:dyDescent="0.25">
      <c r="A28"/>
      <c r="B28"/>
    </row>
    <row r="29" spans="1:2" x14ac:dyDescent="0.25">
      <c r="A29"/>
      <c r="B29"/>
    </row>
    <row r="30" spans="1:2" x14ac:dyDescent="0.25">
      <c r="A30"/>
      <c r="B30"/>
    </row>
    <row r="31" spans="1:2" x14ac:dyDescent="0.25">
      <c r="A31"/>
      <c r="B31"/>
    </row>
    <row r="32" spans="1:2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  <row r="102" spans="1:2" x14ac:dyDescent="0.25">
      <c r="A102"/>
      <c r="B102"/>
    </row>
    <row r="103" spans="1:2" x14ac:dyDescent="0.25">
      <c r="A103"/>
      <c r="B103"/>
    </row>
    <row r="104" spans="1:2" x14ac:dyDescent="0.25">
      <c r="A104"/>
      <c r="B104"/>
    </row>
    <row r="105" spans="1:2" x14ac:dyDescent="0.25">
      <c r="A105"/>
      <c r="B105"/>
    </row>
    <row r="106" spans="1:2" x14ac:dyDescent="0.25">
      <c r="A106"/>
      <c r="B106"/>
    </row>
    <row r="107" spans="1:2" x14ac:dyDescent="0.25">
      <c r="A107"/>
      <c r="B107"/>
    </row>
    <row r="108" spans="1:2" x14ac:dyDescent="0.25">
      <c r="A108"/>
      <c r="B108"/>
    </row>
    <row r="109" spans="1:2" x14ac:dyDescent="0.25">
      <c r="A109"/>
      <c r="B109"/>
    </row>
    <row r="110" spans="1:2" x14ac:dyDescent="0.25">
      <c r="A110"/>
      <c r="B110"/>
    </row>
    <row r="111" spans="1:2" x14ac:dyDescent="0.25">
      <c r="A111"/>
      <c r="B111"/>
    </row>
    <row r="112" spans="1:2" x14ac:dyDescent="0.25">
      <c r="A112"/>
      <c r="B112"/>
    </row>
    <row r="113" spans="1:2" x14ac:dyDescent="0.25">
      <c r="A113"/>
      <c r="B113"/>
    </row>
    <row r="114" spans="1:2" x14ac:dyDescent="0.25">
      <c r="A114"/>
      <c r="B114"/>
    </row>
    <row r="115" spans="1:2" x14ac:dyDescent="0.25">
      <c r="A115"/>
      <c r="B115"/>
    </row>
    <row r="116" spans="1:2" x14ac:dyDescent="0.25">
      <c r="A116"/>
      <c r="B116"/>
    </row>
    <row r="117" spans="1:2" x14ac:dyDescent="0.25">
      <c r="A117"/>
      <c r="B117"/>
    </row>
    <row r="118" spans="1:2" x14ac:dyDescent="0.25">
      <c r="A118"/>
      <c r="B118"/>
    </row>
    <row r="119" spans="1:2" x14ac:dyDescent="0.25">
      <c r="A119"/>
      <c r="B119"/>
    </row>
    <row r="120" spans="1:2" x14ac:dyDescent="0.25">
      <c r="A120"/>
      <c r="B120"/>
    </row>
    <row r="121" spans="1:2" x14ac:dyDescent="0.25">
      <c r="A121"/>
      <c r="B121"/>
    </row>
    <row r="122" spans="1:2" x14ac:dyDescent="0.25">
      <c r="A122"/>
      <c r="B122"/>
    </row>
    <row r="123" spans="1:2" x14ac:dyDescent="0.25">
      <c r="A123"/>
      <c r="B123"/>
    </row>
    <row r="124" spans="1:2" x14ac:dyDescent="0.25">
      <c r="A124"/>
      <c r="B124"/>
    </row>
    <row r="125" spans="1:2" x14ac:dyDescent="0.25">
      <c r="A125"/>
      <c r="B125"/>
    </row>
    <row r="126" spans="1:2" x14ac:dyDescent="0.25">
      <c r="A126"/>
      <c r="B126"/>
    </row>
    <row r="127" spans="1:2" x14ac:dyDescent="0.25">
      <c r="A127"/>
      <c r="B127"/>
    </row>
    <row r="128" spans="1:2" x14ac:dyDescent="0.25">
      <c r="A128"/>
      <c r="B128"/>
    </row>
    <row r="129" spans="1:2" x14ac:dyDescent="0.25">
      <c r="A129"/>
      <c r="B129"/>
    </row>
    <row r="130" spans="1:2" x14ac:dyDescent="0.25">
      <c r="A130"/>
      <c r="B130"/>
    </row>
    <row r="131" spans="1:2" x14ac:dyDescent="0.25">
      <c r="A131"/>
      <c r="B131"/>
    </row>
    <row r="132" spans="1:2" x14ac:dyDescent="0.25">
      <c r="A132"/>
      <c r="B132"/>
    </row>
    <row r="133" spans="1:2" x14ac:dyDescent="0.25">
      <c r="A133"/>
      <c r="B133"/>
    </row>
    <row r="134" spans="1:2" x14ac:dyDescent="0.25">
      <c r="A134"/>
      <c r="B134"/>
    </row>
    <row r="135" spans="1:2" x14ac:dyDescent="0.25">
      <c r="A135"/>
      <c r="B135"/>
    </row>
    <row r="136" spans="1:2" x14ac:dyDescent="0.25">
      <c r="A136"/>
      <c r="B136"/>
    </row>
    <row r="137" spans="1:2" x14ac:dyDescent="0.25">
      <c r="A137"/>
      <c r="B137"/>
    </row>
    <row r="138" spans="1:2" x14ac:dyDescent="0.25">
      <c r="A138"/>
      <c r="B138"/>
    </row>
    <row r="139" spans="1:2" x14ac:dyDescent="0.25">
      <c r="A139"/>
      <c r="B139"/>
    </row>
    <row r="140" spans="1:2" x14ac:dyDescent="0.25">
      <c r="A140"/>
      <c r="B140"/>
    </row>
    <row r="141" spans="1:2" x14ac:dyDescent="0.25">
      <c r="A141"/>
      <c r="B141"/>
    </row>
    <row r="142" spans="1:2" x14ac:dyDescent="0.25">
      <c r="A142"/>
      <c r="B142"/>
    </row>
  </sheetData>
  <mergeCells count="2">
    <mergeCell ref="E4:F4"/>
    <mergeCell ref="A1:F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B374-69B9-487A-BECD-E176E992A3C2}">
  <dimension ref="A1:F68"/>
  <sheetViews>
    <sheetView topLeftCell="A13" workbookViewId="0">
      <selection activeCell="E40" sqref="E40"/>
    </sheetView>
  </sheetViews>
  <sheetFormatPr baseColWidth="10" defaultRowHeight="13.8" x14ac:dyDescent="0.25"/>
  <cols>
    <col min="1" max="1" width="29.33203125" style="13" bestFit="1" customWidth="1"/>
    <col min="2" max="2" width="20.88671875" style="13" bestFit="1" customWidth="1"/>
    <col min="3" max="3" width="19.5546875" style="13" bestFit="1" customWidth="1"/>
    <col min="4" max="4" width="5" style="13" bestFit="1" customWidth="1"/>
    <col min="5" max="5" width="15.6640625" style="13" bestFit="1" customWidth="1"/>
    <col min="6" max="6" width="16.5546875" style="10" bestFit="1" customWidth="1"/>
    <col min="7" max="10" width="5" style="13" bestFit="1" customWidth="1"/>
    <col min="11" max="48" width="6" style="13" bestFit="1" customWidth="1"/>
    <col min="49" max="106" width="7" style="13" bestFit="1" customWidth="1"/>
    <col min="107" max="121" width="8" style="13" bestFit="1" customWidth="1"/>
    <col min="122" max="123" width="9" style="13" bestFit="1" customWidth="1"/>
    <col min="124" max="124" width="5.88671875" style="13" bestFit="1" customWidth="1"/>
    <col min="125" max="125" width="11.88671875" style="13" bestFit="1" customWidth="1"/>
    <col min="126" max="16384" width="11.5546875" style="13"/>
  </cols>
  <sheetData>
    <row r="1" spans="1:6" x14ac:dyDescent="0.25">
      <c r="A1" s="50" t="s">
        <v>74</v>
      </c>
      <c r="B1" s="50"/>
      <c r="C1" s="50"/>
      <c r="D1" s="50"/>
      <c r="E1" s="50"/>
      <c r="F1" s="50"/>
    </row>
    <row r="3" spans="1:6" x14ac:dyDescent="0.25">
      <c r="A3" s="35" t="s">
        <v>65</v>
      </c>
      <c r="B3" s="13" t="s">
        <v>67</v>
      </c>
      <c r="F3" s="13"/>
    </row>
    <row r="4" spans="1:6" x14ac:dyDescent="0.25">
      <c r="A4" s="36" t="s">
        <v>50</v>
      </c>
      <c r="B4" s="37">
        <v>3416902</v>
      </c>
      <c r="F4" s="13"/>
    </row>
    <row r="5" spans="1:6" x14ac:dyDescent="0.25">
      <c r="A5" s="38" t="s">
        <v>14</v>
      </c>
      <c r="B5" s="37">
        <v>3416902</v>
      </c>
      <c r="F5" s="13"/>
    </row>
    <row r="6" spans="1:6" x14ac:dyDescent="0.25">
      <c r="A6" s="39" t="s">
        <v>33</v>
      </c>
      <c r="B6" s="37">
        <v>765271</v>
      </c>
      <c r="F6" s="13"/>
    </row>
    <row r="7" spans="1:6" x14ac:dyDescent="0.25">
      <c r="A7" s="44" t="s">
        <v>248</v>
      </c>
      <c r="B7" s="37">
        <v>765271</v>
      </c>
      <c r="F7" s="13"/>
    </row>
    <row r="8" spans="1:6" x14ac:dyDescent="0.25">
      <c r="A8" s="39" t="s">
        <v>32</v>
      </c>
      <c r="B8" s="37">
        <v>1005631</v>
      </c>
      <c r="F8" s="13"/>
    </row>
    <row r="9" spans="1:6" x14ac:dyDescent="0.25">
      <c r="A9" s="44" t="s">
        <v>248</v>
      </c>
      <c r="B9" s="37">
        <v>1005631</v>
      </c>
      <c r="F9" s="13"/>
    </row>
    <row r="10" spans="1:6" x14ac:dyDescent="0.25">
      <c r="A10" s="39" t="s">
        <v>31</v>
      </c>
      <c r="B10" s="37">
        <v>1646000</v>
      </c>
      <c r="F10" s="13"/>
    </row>
    <row r="11" spans="1:6" x14ac:dyDescent="0.25">
      <c r="A11" s="44" t="s">
        <v>248</v>
      </c>
      <c r="B11" s="37">
        <v>1646000</v>
      </c>
      <c r="F11" s="13"/>
    </row>
    <row r="12" spans="1:6" x14ac:dyDescent="0.25">
      <c r="A12" s="36" t="s">
        <v>206</v>
      </c>
      <c r="B12" s="37">
        <v>7000</v>
      </c>
      <c r="F12" s="13"/>
    </row>
    <row r="13" spans="1:6" x14ac:dyDescent="0.25">
      <c r="A13" s="38" t="s">
        <v>14</v>
      </c>
      <c r="B13" s="37">
        <v>7000</v>
      </c>
      <c r="F13" s="13"/>
    </row>
    <row r="14" spans="1:6" x14ac:dyDescent="0.25">
      <c r="A14" s="39" t="s">
        <v>33</v>
      </c>
      <c r="B14" s="37">
        <v>7000</v>
      </c>
      <c r="F14" s="13"/>
    </row>
    <row r="15" spans="1:6" x14ac:dyDescent="0.25">
      <c r="A15" s="44" t="s">
        <v>248</v>
      </c>
      <c r="B15" s="37">
        <v>7000</v>
      </c>
      <c r="F15" s="13"/>
    </row>
    <row r="16" spans="1:6" x14ac:dyDescent="0.25">
      <c r="A16" s="36" t="s">
        <v>66</v>
      </c>
      <c r="B16" s="37">
        <v>3423902</v>
      </c>
      <c r="F16" s="13"/>
    </row>
    <row r="17" spans="1:6" x14ac:dyDescent="0.25">
      <c r="A17"/>
      <c r="B17"/>
      <c r="F17" s="13"/>
    </row>
    <row r="18" spans="1:6" x14ac:dyDescent="0.25">
      <c r="A18"/>
      <c r="B18"/>
    </row>
    <row r="19" spans="1:6" x14ac:dyDescent="0.25">
      <c r="A19"/>
      <c r="B19"/>
    </row>
    <row r="20" spans="1:6" x14ac:dyDescent="0.25">
      <c r="A20"/>
      <c r="B20"/>
    </row>
    <row r="21" spans="1:6" x14ac:dyDescent="0.25">
      <c r="A21"/>
      <c r="B21"/>
    </row>
    <row r="22" spans="1:6" x14ac:dyDescent="0.25">
      <c r="A22"/>
      <c r="B22"/>
    </row>
    <row r="23" spans="1:6" x14ac:dyDescent="0.25">
      <c r="A23"/>
      <c r="B23"/>
    </row>
    <row r="24" spans="1:6" x14ac:dyDescent="0.25">
      <c r="A24"/>
      <c r="B24"/>
    </row>
    <row r="25" spans="1:6" x14ac:dyDescent="0.25">
      <c r="A25"/>
      <c r="B25"/>
    </row>
    <row r="26" spans="1:6" x14ac:dyDescent="0.25">
      <c r="A26"/>
      <c r="B26"/>
    </row>
    <row r="27" spans="1:6" x14ac:dyDescent="0.25">
      <c r="A27"/>
      <c r="B27"/>
    </row>
    <row r="28" spans="1:6" x14ac:dyDescent="0.25">
      <c r="A28"/>
      <c r="B28"/>
    </row>
    <row r="29" spans="1:6" x14ac:dyDescent="0.25">
      <c r="A29"/>
      <c r="B29"/>
    </row>
    <row r="30" spans="1:6" x14ac:dyDescent="0.25">
      <c r="A30"/>
      <c r="B30"/>
    </row>
    <row r="31" spans="1:6" x14ac:dyDescent="0.25">
      <c r="A31"/>
      <c r="B31"/>
    </row>
    <row r="32" spans="1:6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ht="14.4" x14ac:dyDescent="0.3">
      <c r="A46"/>
      <c r="B46"/>
    </row>
    <row r="47" spans="1:2" ht="14.4" x14ac:dyDescent="0.3">
      <c r="A47"/>
      <c r="B47"/>
    </row>
    <row r="48" spans="1:2" ht="14.4" x14ac:dyDescent="0.3">
      <c r="A48"/>
      <c r="B48"/>
    </row>
    <row r="49" spans="1:2" ht="14.4" x14ac:dyDescent="0.3">
      <c r="A49"/>
      <c r="B49"/>
    </row>
    <row r="50" spans="1:2" ht="14.4" x14ac:dyDescent="0.3">
      <c r="A50"/>
      <c r="B50"/>
    </row>
    <row r="51" spans="1:2" ht="14.4" x14ac:dyDescent="0.3">
      <c r="A51"/>
      <c r="B51"/>
    </row>
    <row r="52" spans="1:2" ht="14.4" x14ac:dyDescent="0.3">
      <c r="A52"/>
      <c r="B52"/>
    </row>
    <row r="53" spans="1:2" ht="14.4" x14ac:dyDescent="0.3">
      <c r="A53"/>
      <c r="B53"/>
    </row>
    <row r="54" spans="1:2" ht="14.4" x14ac:dyDescent="0.3">
      <c r="A54"/>
      <c r="B54"/>
    </row>
    <row r="55" spans="1:2" ht="14.4" x14ac:dyDescent="0.3">
      <c r="A55"/>
      <c r="B55"/>
    </row>
    <row r="56" spans="1:2" ht="14.4" x14ac:dyDescent="0.3">
      <c r="A56"/>
      <c r="B56"/>
    </row>
    <row r="57" spans="1:2" ht="14.4" x14ac:dyDescent="0.3">
      <c r="A57"/>
      <c r="B57"/>
    </row>
    <row r="58" spans="1:2" ht="14.4" x14ac:dyDescent="0.3">
      <c r="A58"/>
      <c r="B58"/>
    </row>
    <row r="59" spans="1:2" ht="14.4" x14ac:dyDescent="0.3">
      <c r="A59"/>
      <c r="B59"/>
    </row>
    <row r="60" spans="1:2" ht="14.4" x14ac:dyDescent="0.3">
      <c r="A60"/>
      <c r="B60"/>
    </row>
    <row r="61" spans="1:2" ht="14.4" x14ac:dyDescent="0.3">
      <c r="A61"/>
      <c r="B61"/>
    </row>
    <row r="62" spans="1:2" ht="14.4" x14ac:dyDescent="0.3">
      <c r="A62"/>
      <c r="B62"/>
    </row>
    <row r="63" spans="1:2" ht="14.4" x14ac:dyDescent="0.3">
      <c r="A63"/>
      <c r="B63"/>
    </row>
    <row r="64" spans="1:2" ht="14.4" x14ac:dyDescent="0.3">
      <c r="A64"/>
      <c r="B64"/>
    </row>
    <row r="65" spans="1:2" ht="14.4" x14ac:dyDescent="0.3">
      <c r="A65"/>
      <c r="B65"/>
    </row>
    <row r="66" spans="1:2" ht="14.4" x14ac:dyDescent="0.3">
      <c r="A66"/>
      <c r="B66"/>
    </row>
    <row r="67" spans="1:2" ht="14.4" x14ac:dyDescent="0.3">
      <c r="A67"/>
      <c r="B67"/>
    </row>
    <row r="68" spans="1:2" ht="14.4" x14ac:dyDescent="0.3">
      <c r="A68"/>
      <c r="B68"/>
    </row>
  </sheetData>
  <mergeCells count="1">
    <mergeCell ref="A1:F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7B35-4EC1-4E21-8E76-2ADB2B1DCC0A}">
  <dimension ref="A1:F68"/>
  <sheetViews>
    <sheetView topLeftCell="A16" workbookViewId="0">
      <selection activeCell="C41" sqref="C41"/>
    </sheetView>
  </sheetViews>
  <sheetFormatPr baseColWidth="10" defaultRowHeight="13.8" x14ac:dyDescent="0.25"/>
  <cols>
    <col min="1" max="1" width="23.21875" style="13" bestFit="1" customWidth="1"/>
    <col min="2" max="2" width="20.88671875" style="13" bestFit="1" customWidth="1"/>
    <col min="3" max="3" width="19.5546875" style="13" bestFit="1" customWidth="1"/>
    <col min="4" max="4" width="5" style="13" bestFit="1" customWidth="1"/>
    <col min="5" max="5" width="15.6640625" style="13" bestFit="1" customWidth="1"/>
    <col min="6" max="6" width="16.5546875" style="10" bestFit="1" customWidth="1"/>
    <col min="7" max="10" width="5" style="13" bestFit="1" customWidth="1"/>
    <col min="11" max="48" width="6" style="13" bestFit="1" customWidth="1"/>
    <col min="49" max="106" width="7" style="13" bestFit="1" customWidth="1"/>
    <col min="107" max="121" width="8" style="13" bestFit="1" customWidth="1"/>
    <col min="122" max="123" width="9" style="13" bestFit="1" customWidth="1"/>
    <col min="124" max="124" width="5.88671875" style="13" bestFit="1" customWidth="1"/>
    <col min="125" max="125" width="11.88671875" style="13" bestFit="1" customWidth="1"/>
    <col min="126" max="16384" width="11.5546875" style="13"/>
  </cols>
  <sheetData>
    <row r="1" spans="1:6" x14ac:dyDescent="0.25">
      <c r="A1" s="50" t="s">
        <v>75</v>
      </c>
      <c r="B1" s="50"/>
      <c r="C1" s="50"/>
      <c r="D1" s="50"/>
      <c r="E1" s="50"/>
      <c r="F1" s="50"/>
    </row>
    <row r="3" spans="1:6" x14ac:dyDescent="0.25">
      <c r="A3" s="35" t="s">
        <v>65</v>
      </c>
      <c r="B3" s="13" t="s">
        <v>67</v>
      </c>
      <c r="F3" s="13"/>
    </row>
    <row r="4" spans="1:6" x14ac:dyDescent="0.25">
      <c r="A4" s="36" t="s">
        <v>50</v>
      </c>
      <c r="B4" s="37">
        <v>3416902</v>
      </c>
      <c r="F4" s="13"/>
    </row>
    <row r="5" spans="1:6" x14ac:dyDescent="0.25">
      <c r="A5" s="38" t="s">
        <v>14</v>
      </c>
      <c r="B5" s="37">
        <v>3416902</v>
      </c>
      <c r="F5" s="13"/>
    </row>
    <row r="6" spans="1:6" x14ac:dyDescent="0.25">
      <c r="A6" s="39" t="s">
        <v>37</v>
      </c>
      <c r="B6" s="37">
        <v>1646000</v>
      </c>
      <c r="F6" s="13"/>
    </row>
    <row r="7" spans="1:6" x14ac:dyDescent="0.25">
      <c r="A7" s="44" t="s">
        <v>248</v>
      </c>
      <c r="B7" s="37">
        <v>1646000</v>
      </c>
      <c r="F7" s="13"/>
    </row>
    <row r="8" spans="1:6" x14ac:dyDescent="0.25">
      <c r="A8" s="39" t="s">
        <v>44</v>
      </c>
      <c r="B8" s="37">
        <v>1005631</v>
      </c>
      <c r="F8" s="13"/>
    </row>
    <row r="9" spans="1:6" x14ac:dyDescent="0.25">
      <c r="A9" s="44" t="s">
        <v>248</v>
      </c>
      <c r="B9" s="37">
        <v>1005631</v>
      </c>
      <c r="F9" s="13"/>
    </row>
    <row r="10" spans="1:6" x14ac:dyDescent="0.25">
      <c r="A10" s="39" t="s">
        <v>46</v>
      </c>
      <c r="B10" s="37">
        <v>765271</v>
      </c>
      <c r="F10" s="13"/>
    </row>
    <row r="11" spans="1:6" x14ac:dyDescent="0.25">
      <c r="A11" s="44" t="s">
        <v>248</v>
      </c>
      <c r="B11" s="37">
        <v>765271</v>
      </c>
      <c r="F11" s="13"/>
    </row>
    <row r="12" spans="1:6" x14ac:dyDescent="0.25">
      <c r="A12" s="36" t="s">
        <v>66</v>
      </c>
      <c r="B12" s="37">
        <v>3416902</v>
      </c>
      <c r="F12" s="13"/>
    </row>
    <row r="13" spans="1:6" x14ac:dyDescent="0.25">
      <c r="A13"/>
      <c r="B13"/>
      <c r="F13" s="13"/>
    </row>
    <row r="14" spans="1:6" x14ac:dyDescent="0.25">
      <c r="A14"/>
      <c r="B14"/>
      <c r="F14" s="13"/>
    </row>
    <row r="15" spans="1:6" x14ac:dyDescent="0.25">
      <c r="A15"/>
      <c r="B15"/>
      <c r="F15" s="13"/>
    </row>
    <row r="16" spans="1:6" x14ac:dyDescent="0.25">
      <c r="A16"/>
      <c r="B16"/>
      <c r="F16" s="13"/>
    </row>
    <row r="17" spans="1:6" x14ac:dyDescent="0.25">
      <c r="A17"/>
      <c r="B17"/>
      <c r="F17" s="13"/>
    </row>
    <row r="18" spans="1:6" x14ac:dyDescent="0.25">
      <c r="A18"/>
      <c r="B18"/>
    </row>
    <row r="19" spans="1:6" x14ac:dyDescent="0.25">
      <c r="A19"/>
      <c r="B19"/>
    </row>
    <row r="20" spans="1:6" x14ac:dyDescent="0.25">
      <c r="A20"/>
      <c r="B20"/>
    </row>
    <row r="21" spans="1:6" x14ac:dyDescent="0.25">
      <c r="A21"/>
      <c r="B21"/>
    </row>
    <row r="22" spans="1:6" x14ac:dyDescent="0.25">
      <c r="A22"/>
      <c r="B22"/>
    </row>
    <row r="23" spans="1:6" x14ac:dyDescent="0.25">
      <c r="A23"/>
      <c r="B23"/>
    </row>
    <row r="24" spans="1:6" x14ac:dyDescent="0.25">
      <c r="A24"/>
      <c r="B24"/>
    </row>
    <row r="25" spans="1:6" x14ac:dyDescent="0.25">
      <c r="A25"/>
      <c r="B25"/>
    </row>
    <row r="26" spans="1:6" x14ac:dyDescent="0.25">
      <c r="A26"/>
      <c r="B26"/>
    </row>
    <row r="27" spans="1:6" x14ac:dyDescent="0.25">
      <c r="A27"/>
      <c r="B27"/>
    </row>
    <row r="28" spans="1:6" x14ac:dyDescent="0.25">
      <c r="A28"/>
      <c r="B28"/>
    </row>
    <row r="29" spans="1:6" x14ac:dyDescent="0.25">
      <c r="A29"/>
      <c r="B29"/>
    </row>
    <row r="30" spans="1:6" x14ac:dyDescent="0.25">
      <c r="A30"/>
      <c r="B30"/>
    </row>
    <row r="31" spans="1:6" x14ac:dyDescent="0.25">
      <c r="A31"/>
      <c r="B31"/>
    </row>
    <row r="32" spans="1:6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ht="14.4" x14ac:dyDescent="0.3">
      <c r="A53"/>
      <c r="B53"/>
    </row>
    <row r="54" spans="1:2" ht="14.4" x14ac:dyDescent="0.3">
      <c r="A54"/>
      <c r="B54"/>
    </row>
    <row r="55" spans="1:2" ht="14.4" x14ac:dyDescent="0.3">
      <c r="A55"/>
      <c r="B55"/>
    </row>
    <row r="56" spans="1:2" ht="14.4" x14ac:dyDescent="0.3">
      <c r="A56"/>
      <c r="B56"/>
    </row>
    <row r="57" spans="1:2" ht="14.4" x14ac:dyDescent="0.3">
      <c r="A57"/>
      <c r="B57"/>
    </row>
    <row r="58" spans="1:2" ht="14.4" x14ac:dyDescent="0.3">
      <c r="A58"/>
      <c r="B58"/>
    </row>
    <row r="59" spans="1:2" ht="14.4" x14ac:dyDescent="0.3">
      <c r="A59"/>
      <c r="B59"/>
    </row>
    <row r="60" spans="1:2" ht="14.4" x14ac:dyDescent="0.3">
      <c r="A60"/>
      <c r="B60"/>
    </row>
    <row r="61" spans="1:2" ht="14.4" x14ac:dyDescent="0.3">
      <c r="A61"/>
      <c r="B61"/>
    </row>
    <row r="62" spans="1:2" ht="14.4" x14ac:dyDescent="0.3">
      <c r="A62"/>
      <c r="B62"/>
    </row>
    <row r="63" spans="1:2" ht="14.4" x14ac:dyDescent="0.3">
      <c r="A63"/>
      <c r="B63"/>
    </row>
    <row r="64" spans="1:2" ht="14.4" x14ac:dyDescent="0.3">
      <c r="A64"/>
      <c r="B64"/>
    </row>
    <row r="65" spans="1:2" ht="14.4" x14ac:dyDescent="0.3">
      <c r="A65"/>
      <c r="B65"/>
    </row>
    <row r="66" spans="1:2" ht="14.4" x14ac:dyDescent="0.3">
      <c r="A66"/>
      <c r="B66"/>
    </row>
    <row r="67" spans="1:2" ht="14.4" x14ac:dyDescent="0.3">
      <c r="A67"/>
      <c r="B67"/>
    </row>
    <row r="68" spans="1:2" ht="14.4" x14ac:dyDescent="0.3">
      <c r="A68"/>
      <c r="B68"/>
    </row>
  </sheetData>
  <mergeCells count="1">
    <mergeCell ref="A1:F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561E-DAA9-4CEA-997A-1E08E3FCB800}">
  <dimension ref="A2:O18"/>
  <sheetViews>
    <sheetView workbookViewId="0">
      <selection activeCell="E23" sqref="E23"/>
    </sheetView>
  </sheetViews>
  <sheetFormatPr baseColWidth="10" defaultRowHeight="14.4" x14ac:dyDescent="0.3"/>
  <cols>
    <col min="1" max="1" width="18.33203125" style="13" bestFit="1" customWidth="1"/>
    <col min="2" max="2" width="11.5546875" style="13"/>
    <col min="3" max="3" width="13.33203125" style="13" bestFit="1" customWidth="1"/>
    <col min="4" max="4" width="11.5546875" style="13"/>
    <col min="5" max="5" width="23.5546875" style="10" bestFit="1" customWidth="1"/>
    <col min="6" max="6" width="11.5546875" style="13"/>
    <col min="7" max="7" width="24.21875" style="10" bestFit="1" customWidth="1"/>
    <col min="8" max="8" width="11.5546875" style="13"/>
    <col min="9" max="9" width="10.33203125" style="10" bestFit="1" customWidth="1"/>
    <col min="10" max="10" width="11.5546875" style="13"/>
    <col min="11" max="11" width="13" style="13" bestFit="1" customWidth="1"/>
    <col min="12" max="12" width="11.5546875" style="13"/>
    <col min="13" max="13" width="22.5546875" style="13" bestFit="1" customWidth="1"/>
    <col min="15" max="15" width="19.5546875" bestFit="1" customWidth="1"/>
  </cols>
  <sheetData>
    <row r="2" spans="1:15" s="16" customFormat="1" x14ac:dyDescent="0.3">
      <c r="A2" s="14" t="s">
        <v>22</v>
      </c>
      <c r="B2" s="15"/>
      <c r="C2" s="14" t="s">
        <v>9</v>
      </c>
      <c r="D2" s="15"/>
      <c r="E2" s="14" t="s">
        <v>1</v>
      </c>
      <c r="F2" s="15"/>
      <c r="G2" s="14" t="s">
        <v>2</v>
      </c>
      <c r="H2" s="15"/>
      <c r="I2" s="17" t="s">
        <v>13</v>
      </c>
      <c r="J2" s="15"/>
      <c r="K2" s="17" t="s">
        <v>3</v>
      </c>
      <c r="L2" s="15"/>
      <c r="M2" s="17" t="s">
        <v>4</v>
      </c>
      <c r="O2" s="17" t="s">
        <v>56</v>
      </c>
    </row>
    <row r="3" spans="1:15" x14ac:dyDescent="0.3">
      <c r="A3" s="18" t="s">
        <v>16</v>
      </c>
      <c r="C3" s="5" t="s">
        <v>6</v>
      </c>
      <c r="E3" s="6" t="s">
        <v>27</v>
      </c>
      <c r="G3" s="6" t="s">
        <v>41</v>
      </c>
      <c r="I3" s="6" t="s">
        <v>49</v>
      </c>
      <c r="K3" s="18" t="s">
        <v>51</v>
      </c>
      <c r="M3" s="18" t="s">
        <v>53</v>
      </c>
      <c r="O3" s="18" t="s">
        <v>59</v>
      </c>
    </row>
    <row r="4" spans="1:15" x14ac:dyDescent="0.3">
      <c r="A4" s="18" t="s">
        <v>15</v>
      </c>
      <c r="C4" s="5" t="s">
        <v>7</v>
      </c>
      <c r="E4" s="6" t="s">
        <v>23</v>
      </c>
      <c r="G4" s="6" t="s">
        <v>38</v>
      </c>
      <c r="I4" s="6" t="s">
        <v>47</v>
      </c>
      <c r="K4" s="18" t="s">
        <v>50</v>
      </c>
      <c r="M4" s="18" t="s">
        <v>52</v>
      </c>
      <c r="O4" s="18" t="s">
        <v>58</v>
      </c>
    </row>
    <row r="5" spans="1:15" x14ac:dyDescent="0.3">
      <c r="A5" s="18" t="s">
        <v>21</v>
      </c>
      <c r="E5" s="6" t="s">
        <v>33</v>
      </c>
      <c r="G5" s="6" t="s">
        <v>37</v>
      </c>
      <c r="I5" s="6" t="s">
        <v>48</v>
      </c>
      <c r="O5" s="18" t="s">
        <v>57</v>
      </c>
    </row>
    <row r="6" spans="1:15" x14ac:dyDescent="0.3">
      <c r="A6" s="18" t="s">
        <v>20</v>
      </c>
      <c r="E6" s="6" t="s">
        <v>29</v>
      </c>
      <c r="G6" s="6" t="s">
        <v>45</v>
      </c>
      <c r="O6" s="18" t="s">
        <v>60</v>
      </c>
    </row>
    <row r="7" spans="1:15" x14ac:dyDescent="0.3">
      <c r="A7" s="18" t="s">
        <v>18</v>
      </c>
      <c r="E7" s="6" t="s">
        <v>28</v>
      </c>
      <c r="G7" s="6" t="s">
        <v>43</v>
      </c>
    </row>
    <row r="8" spans="1:15" x14ac:dyDescent="0.3">
      <c r="A8" s="18" t="s">
        <v>19</v>
      </c>
      <c r="E8" s="6" t="s">
        <v>32</v>
      </c>
      <c r="G8" s="6" t="s">
        <v>40</v>
      </c>
    </row>
    <row r="9" spans="1:15" x14ac:dyDescent="0.3">
      <c r="A9" s="5" t="s">
        <v>5</v>
      </c>
      <c r="E9" s="6" t="s">
        <v>54</v>
      </c>
      <c r="G9" s="6" t="s">
        <v>44</v>
      </c>
    </row>
    <row r="10" spans="1:15" x14ac:dyDescent="0.3">
      <c r="A10" s="18" t="s">
        <v>14</v>
      </c>
      <c r="E10" s="6" t="s">
        <v>35</v>
      </c>
      <c r="G10" s="6" t="s">
        <v>46</v>
      </c>
    </row>
    <row r="11" spans="1:15" x14ac:dyDescent="0.3">
      <c r="A11" s="18" t="s">
        <v>17</v>
      </c>
      <c r="E11" s="6" t="s">
        <v>36</v>
      </c>
      <c r="G11" s="6" t="s">
        <v>42</v>
      </c>
    </row>
    <row r="12" spans="1:15" x14ac:dyDescent="0.3">
      <c r="A12" s="5" t="s">
        <v>8</v>
      </c>
      <c r="E12" s="6" t="s">
        <v>34</v>
      </c>
      <c r="G12" s="6" t="s">
        <v>39</v>
      </c>
    </row>
    <row r="13" spans="1:15" x14ac:dyDescent="0.3">
      <c r="E13" s="6" t="s">
        <v>31</v>
      </c>
    </row>
    <row r="14" spans="1:15" x14ac:dyDescent="0.3">
      <c r="E14" s="6" t="s">
        <v>73</v>
      </c>
    </row>
    <row r="15" spans="1:15" x14ac:dyDescent="0.3">
      <c r="E15" s="6" t="s">
        <v>24</v>
      </c>
    </row>
    <row r="16" spans="1:15" x14ac:dyDescent="0.3">
      <c r="E16" s="6" t="s">
        <v>26</v>
      </c>
    </row>
    <row r="17" spans="5:5" x14ac:dyDescent="0.3">
      <c r="E17" s="6" t="s">
        <v>30</v>
      </c>
    </row>
    <row r="18" spans="5:5" x14ac:dyDescent="0.3">
      <c r="E18" s="6" t="s">
        <v>25</v>
      </c>
    </row>
  </sheetData>
  <sortState ref="E3:E18">
    <sortCondition ref="E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Suivi Dépense</vt:lpstr>
      <vt:lpstr>Par magasin</vt:lpstr>
      <vt:lpstr>Par Localisation par magasin</vt:lpstr>
      <vt:lpstr>Par C.E. par magasin</vt:lpstr>
      <vt:lpstr>Listes déroulantes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Jose-Edgar MAGNAGUEMABE</dc:creator>
  <cp:lastModifiedBy>Nino EKANGO</cp:lastModifiedBy>
  <cp:lastPrinted>2026-06-29T16:16:12Z</cp:lastPrinted>
  <dcterms:created xsi:type="dcterms:W3CDTF">2026-04-01T15:24:55Z</dcterms:created>
  <dcterms:modified xsi:type="dcterms:W3CDTF">2026-07-02T08:02:17Z</dcterms:modified>
</cp:coreProperties>
</file>